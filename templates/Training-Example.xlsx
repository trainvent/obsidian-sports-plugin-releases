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3a53ff9f6341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c99a68d56f4e4ca8"/>
    <x:sheet xmlns:r="http://schemas.openxmlformats.org/officeDocument/2006/relationships" name="Recurring" sheetId="2" r:id="R01bec6e334924e84"/>
    <x:sheet xmlns:r="http://schemas.openxmlformats.org/officeDocument/2006/relationships" name="Daily" sheetId="3" r:id="R6ae4dc4e5cf74c50"/>
    <x:sheet xmlns:r="http://schemas.openxmlformats.org/officeDocument/2006/relationships" name="Scoring" sheetId="4" r:id="R39a89036e7a942a0"/>
    <x:sheet xmlns:r="http://schemas.openxmlformats.org/officeDocument/2006/relationships" name="Library" sheetId="5" r:id="R7630a26f04e947f4"/>
  </x:sheets>
</x:workbook>
</file>

<file path=xl/sharedStrings.xml><?xml version="1.0" encoding="utf-8"?>
<x:sst xmlns:x="http://schemas.openxmlformats.org/spreadsheetml/2006/main">
  <x:si>
    <x:t xml:space="preserve">Plan</x:t>
  </x:si>
  <x:si>
    <x:t xml:space="preserve">schema_version</x:t>
  </x:si>
  <x:si>
    <x:t xml:space="preserve">plan_id</x:t>
  </x:si>
  <x:si>
    <x:t xml:space="preserve">plan_name</x:t>
  </x:si>
  <x:si>
    <x:t xml:space="preserve">timezone</x:t>
  </x:si>
  <x:si>
    <x:t xml:space="preserve">start_date</x:t>
  </x:si>
  <x:si>
    <x:t xml:space="preserve">max_sets</x:t>
  </x:si>
  <x:si>
    <x:t xml:space="preserve">max_reps</x:t>
  </x:si>
  <x:si>
    <x:t xml:space="preserve">1</x:t>
  </x:si>
  <x:si>
    <x:t xml:space="preserve">my-training</x:t>
  </x:si>
  <x:si>
    <x:t xml:space="preserve">Europe/Berlin</x:t>
  </x:si>
  <x:si>
    <x:t xml:space="preserve">Goals</x:t>
  </x:si>
  <x:si>
    <x:t xml:space="preserve">goal_id</x:t>
  </x:si>
  <x:si>
    <x:t xml:space="preserve">title</x:t>
  </x:si>
  <x:si>
    <x:t xml:space="preserve">benchmark</x:t>
  </x:si>
  <x:si>
    <x:t xml:space="preserve">baseline</x:t>
  </x:si>
  <x:si>
    <x:t xml:space="preserve">test</x:t>
  </x:si>
  <x:si>
    <x:t xml:space="preserve">category</x:t>
  </x:si>
  <x:si>
    <x:t xml:space="preserve">garmin_types</x:t>
  </x:si>
  <x:si>
    <x:t xml:space="preserve">muscle-up</x:t>
  </x:si>
  <x:si>
    <x:t xml:space="preserve">Muscle-up</x:t>
  </x:si>
  <x:si>
    <x:t xml:space="preserve">5–7 pull-ups and 10 dips reported. Muscle-up baseline not established.</x:t>
  </x:si>
  <x:si>
    <x:t xml:space="preserve">Compare band, pull height and clean singles; no forced strict attempt</x:t>
  </x:si>
  <x:si>
    <x:t xml:space="preserve">milestone</x:t>
  </x:si>
  <x:si>
    <x:t xml:space="preserve">hspu</x:t>
  </x:si>
  <x:si>
    <x:t xml:space="preserve">Handstand push-up</x:t>
  </x:si>
  <x:si>
    <x:t xml:space="preserve">pistol</x:t>
  </x:si>
  <x:si>
    <x:t xml:space="preserve">Pistol squat</x:t>
  </x:si>
  <x:si>
    <x:t xml:space="preserve">Single-leg box steps reported; box jumps about 50 cm. Full-depth pistol not established.</x:t>
  </x:si>
  <x:si>
    <x:t xml:space="preserve">Compare support, box height and clean reps on both legs</x:t>
  </x:si>
  <x:si>
    <x:t xml:space="preserve">running</x:t>
  </x:si>
  <x:si>
    <x:t xml:space="preserve">Running</x:t>
  </x:si>
  <x:si>
    <x:t xml:space="preserve">Maintain aerobic capacity while building calisthenics strength; no mileage increase in this block</x:t>
  </x:si>
  <x:si>
    <x:t xml:space="preserve">40–70 km/week assumed from current report; includes Sunday 12 km around 5:00/km. Confirm weekly total.</x:t>
  </x:si>
  <x:si>
    <x:t xml:space="preserve">Week 12: comparable steady 12 km only if recovered; otherwise repeat later</x:t>
  </x:si>
  <x:si>
    <x:t xml:space="preserve">maintenance</x:t>
  </x:si>
  <x:si>
    <x:t xml:space="preserve">swimming</x:t>
  </x:si>
  <x:si>
    <x:t xml:space="preserve">Swimming</x:t>
  </x:si>
  <x:si>
    <x:t xml:space="preserve">Maintain regular swimming</x:t>
  </x:si>
  <x:si>
    <x:t xml:space="preserve">Record duration and distance for comparable swims</x:t>
  </x:si>
  <x:si>
    <x:t xml:space="preserve">Parts</x:t>
  </x:si>
  <x:si>
    <x:t xml:space="preserve">part_id</x:t>
  </x:si>
  <x:si>
    <x:t xml:space="preserve">version</x:t>
  </x:si>
  <x:si>
    <x:t xml:space="preserve">prescription</x:t>
  </x:si>
  <x:si>
    <x:t xml:space="preserve">goal_ids</x:t>
  </x:si>
  <x:si>
    <x:t xml:space="preserve">A</x:t>
  </x:si>
  <x:si>
    <x:t xml:space="preserve">Pull and muscle-up strength</x:t>
  </x:si>
  <x:si>
    <x:t xml:space="preserve">muscle-up, pistol</x:t>
  </x:si>
  <x:si>
    <x:t xml:space="preserve">B</x:t>
  </x:si>
  <x:si>
    <x:t xml:space="preserve">HSPU and balanced strength</x:t>
  </x:si>
  <x:si>
    <x:t xml:space="preserve">hspu, muscle-up, pistol</x:t>
  </x:si>
  <x:si>
    <x:t xml:space="preserve">Technique</x:t>
  </x:si>
  <x:si>
    <x:t xml:space="preserve">muscle-up, hspu</x:t>
  </x:si>
  <x:si>
    <x:t xml:space="preserve">Cal-Intervals</x:t>
  </x:si>
  <x:si>
    <x:t xml:space="preserve">muscle-up, hspu, pistol</x:t>
  </x:si>
  <x:si>
    <x:t xml:space="preserve">Week plans</x:t>
  </x:si>
  <x:si>
    <x:t xml:space="preserve">Week</x:t>
  </x:si>
  <x:si>
    <x:t xml:space="preserve">Start</x:t>
  </x:si>
  <x:si>
    <x:t xml:space="preserve">Phase</x:t>
  </x:si>
  <x:si>
    <x:t xml:space="preserve">Focus</x:t>
  </x:si>
  <x:si>
    <x:t xml:space="preserve">Targets</x:t>
  </x:si>
  <x:si>
    <x:t xml:space="preserve">Advance when</x:t>
  </x:si>
  <x:si>
    <x:t xml:space="preserve">Minutes</x:t>
  </x:si>
  <x:si>
    <x:t xml:space="preserve">Foundation</x:t>
  </x:si>
  <x:si>
    <x:t xml:space="preserve">Deload</x:t>
  </x:si>
  <x:si>
    <x:t xml:space="preserve">Build</x:t>
  </x:si>
  <x:si>
    <x:t xml:space="preserve">Specific</x:t>
  </x:si>
  <x:si>
    <x:t xml:space="preserve">Test</x:t>
  </x:si>
  <x:si>
    <x:t xml:space="preserve">Plan summary</x:t>
  </x:si>
  <x:si>
    <x:t xml:space="preserve">Metric</x:t>
  </x:si>
  <x:si>
    <x:t xml:space="preserve">Value</x:t>
  </x:si>
  <x:si>
    <x:t xml:space="preserve">Planned sessions</x:t>
  </x:si>
  <x:si>
    <x:t xml:space="preserve">Completed sessions</x:t>
  </x:si>
  <x:si>
    <x:t xml:space="preserve">Recorded manual minutes</x:t>
  </x:si>
  <x:si>
    <x:t xml:space="preserve">Recorded performance (%)</x:t>
  </x:si>
  <x:si>
    <x:t xml:space="preserve">Plan recap</x:t>
  </x:si>
  <x:si>
    <x:t xml:space="preserve">Prompt</x:t>
  </x:si>
  <x:si>
    <x:t xml:space="preserve">Response</x:t>
  </x:si>
  <x:si>
    <x:t xml:space="preserve">Goal progress</x:t>
  </x:si>
  <x:si>
    <x:t xml:space="preserve">What worked</x:t>
  </x:si>
  <x:si>
    <x:t xml:space="preserve">What to change</x:t>
  </x:si>
  <x:si>
    <x:t xml:space="preserve">Recovery and comfort</x:t>
  </x:si>
  <x:si>
    <x:t xml:space="preserve">Vest / load observations</x:t>
  </x:si>
  <x:si>
    <x:t xml:space="preserve">Next plan</x:t>
  </x:si>
  <x:si>
    <x:t xml:space="preserve">Weekly schedule</x:t>
  </x:si>
  <x:si>
    <x:t xml:space="preserve">Day</x:t>
  </x:si>
  <x:si>
    <x:t xml:space="preserve">Time Start</x:t>
  </x:si>
  <x:si>
    <x:t xml:space="preserve">Time End</x:t>
  </x:si>
  <x:si>
    <x:t xml:space="preserve">Activity</x:t>
  </x:si>
  <x:si>
    <x:t xml:space="preserve">Recorded by</x:t>
  </x:si>
  <x:si>
    <x:t xml:space="preserve">Notes</x:t>
  </x:si>
  <x:si>
    <x:t xml:space="preserve">Monday</x:t>
  </x:si>
  <x:si>
    <x:t xml:space="preserve">Tuesday</x:t>
  </x:si>
  <x:si>
    <x:t xml:space="preserve">Tracker</x:t>
  </x:si>
  <x:si>
    <x:t xml:space="preserve">Regular weekly swim training</x:t>
  </x:si>
  <x:si>
    <x:t xml:space="preserve">Wednesday</x:t>
  </x:si>
  <x:si>
    <x:t xml:space="preserve">Thursday</x:t>
  </x:si>
  <x:si>
    <x:t xml:space="preserve">Guided swim. Time not yet specified.</x:t>
  </x:si>
  <x:si>
    <x:t xml:space="preserve">Friday</x:t>
  </x:si>
  <x:si>
    <x:t xml:space="preserve">Saturday</x:t>
  </x:si>
  <x:si>
    <x:t xml:space="preserve">Sunday</x:t>
  </x:si>
  <x:si>
    <x:t xml:space="preserve">Usual Sunday 12 km. Counts toward 40–70 km weekly running total.</x:t>
  </x:si>
  <x:si>
    <x:t xml:space="preserve">Session</x:t>
  </x:si>
  <x:si>
    <x:t xml:space="preserve">C</x:t>
  </x:si>
  <x:si>
    <x:t xml:space="preserve">D</x:t>
  </x:si>
  <x:si>
    <x:t xml:space="preserve">E</x:t>
  </x:si>
  <x:si>
    <x:t xml:space="preserve">Ratings</x:t>
  </x:si>
  <x:si>
    <x:t xml:space="preserve">Date</x:t>
  </x:si>
  <x:si>
    <x:t xml:space="preserve">Block</x:t>
  </x:si>
  <x:si>
    <x:t xml:space="preserve">Title</x:t>
  </x:si>
  <x:si>
    <x:t xml:space="preserve">Planned minutes</x:t>
  </x:si>
  <x:si>
    <x:t xml:space="preserve">Actual minutes</x:t>
  </x:si>
  <x:si>
    <x:t xml:space="preserve">Session done</x:t>
  </x:si>
  <x:si>
    <x:t xml:space="preserve">Weight</x:t>
  </x:si>
  <x:si>
    <x:t xml:space="preserve">Rounds</x:t>
  </x:si>
  <x:si>
    <x:t xml:space="preserve">Notes topic</x:t>
  </x:si>
  <x:si>
    <x:t xml:space="preserve">Planned intensity</x:t>
  </x:si>
  <x:si>
    <x:t xml:space="preserve">Effort rating</x:t>
  </x:si>
  <x:si>
    <x:t xml:space="preserve">General</x:t>
  </x:si>
  <x:si>
    <x:t xml:space="preserve">Scoring</x:t>
  </x:si>
  <x:si>
    <x:t xml:space="preserve">Exercise</x:t>
  </x:si>
  <x:si>
    <x:t xml:space="preserve">Unit</x:t>
  </x:si>
  <x:si>
    <x:t xml:space="preserve">Sets</x:t>
  </x:si>
  <x:si>
    <x:t xml:space="preserve">Amount per set</x:t>
  </x:si>
  <x:si>
    <x:t xml:space="preserve">Target</x:t>
  </x:si>
  <x:si>
    <x:t xml:space="preserve">Result</x:t>
  </x:si>
  <x:si>
    <x:t xml:space="preserve">Exercise performance (%)</x:t>
  </x:si>
  <x:si>
    <x:t xml:space="preserve">Base intensity</x:t>
  </x:si>
  <x:si>
    <x:t xml:space="preserve">Planned kg</x:t>
  </x:si>
  <x:si>
    <x:t xml:space="preserve">Growth per kg</x:t>
  </x:si>
  <x:si>
    <x:t xml:space="preserve">Loaded intensity</x:t>
  </x:si>
  <x:si>
    <x:t xml:space="preserve">Volume weight</x:t>
  </x:si>
  <x:si>
    <x:t xml:space="preserve">Contribution</x:t>
  </x:si>
  <x:si>
    <x:t xml:space="preserve">Performance</x:t>
  </x:si>
  <x:si>
    <x:t xml:space="preserve">Scored metrics</x:t>
  </x:si>
  <x:si>
    <x:t xml:space="preserve">Planned metrics</x:t>
  </x:si>
  <x:si>
    <x:t xml:space="preserve">Setting</x:t>
  </x:si>
  <x:si>
    <x:t xml:space="preserve">Seconds per rep equivalent</x:t>
  </x:si>
  <x:si>
    <x:t xml:space="preserve">Descriptive workload index only. Not a readiness or strength measure.</x:t>
  </x:si>
  <x:si>
    <x:t xml:space="preserve">Exercise arsenal</x:t>
  </x:si>
  <x:si>
    <x:t xml:space="preserve">Group</x:t>
  </x:si>
  <x:si>
    <x:t xml:space="preserve">Base intensity (0–10)</x:t>
  </x:si>
  <x:si>
    <x:t xml:space="preserve">Squat</x:t>
  </x:si>
  <x:si>
    <x:t xml:space="preserve">seconds</x:t>
  </x:si>
  <x:si>
    <x:t xml:space="preserve">Upside-down hanging shoulder/ab work</x:t>
  </x:si>
  <x:si>
    <x:t xml:space="preserve">Handstand / HSPU</x:t>
  </x:si>
  <x:si>
    <x:t xml:space="preserve">Chest-to-wall handstand</x:t>
  </x:si>
  <x:si>
    <x:t xml:space="preserve">Deeper wall HSPU</x:t>
  </x:si>
  <x:si>
    <x:t xml:space="preserve">reps</x:t>
  </x:si>
  <x:si>
    <x:t xml:space="preserve">Deficit pike push-up</x:t>
  </x:si>
  <x:si>
    <x:t xml:space="preserve">Easy wall handstand</x:t>
  </x:si>
  <x:si>
    <x:t xml:space="preserve">Elevated pike push-up</x:t>
  </x:si>
  <x:si>
    <x:t xml:space="preserve">Full-ROM wall HSPU</x:t>
  </x:si>
  <x:si>
    <x:t xml:space="preserve">Full-ROM wall HSPU negative</x:t>
  </x:si>
  <x:si>
    <x:t xml:space="preserve">Partial wall HSPU</x:t>
  </x:si>
  <x:si>
    <x:t xml:space="preserve">Pike push-up</x:t>
  </x:si>
  <x:si>
    <x:t xml:space="preserve">Pike push-up back-off</x:t>
  </x:si>
  <x:si>
    <x:t xml:space="preserve">Wall HSPU clusters</x:t>
  </x:si>
  <x:si>
    <x:t xml:space="preserve">Wall HSPU negative</x:t>
  </x:si>
  <x:si>
    <x:t xml:space="preserve">Wall HSPU test</x:t>
  </x:si>
  <x:si>
    <x:t xml:space="preserve">Mobility</x:t>
  </x:si>
  <x:si>
    <x:t xml:space="preserve">Gentle wrist/shoulder mobility</x:t>
  </x:si>
  <x:si>
    <x:t xml:space="preserve">Wrist/shoulder mobility</x:t>
  </x:si>
  <x:si>
    <x:t xml:space="preserve">Band transition drill</x:t>
  </x:si>
  <x:si>
    <x:t xml:space="preserve">Band-assisted muscle-up</x:t>
  </x:si>
  <x:si>
    <x:t xml:space="preserve">Band-assisted transition</x:t>
  </x:si>
  <x:si>
    <x:t xml:space="preserve">Chest-to-bar pull-up</x:t>
  </x:si>
  <x:si>
    <x:t xml:space="preserve">Bar row</x:t>
  </x:si>
  <x:si>
    <x:t xml:space="preserve">Straight-bar dip</x:t>
  </x:si>
  <x:si>
    <x:t xml:space="preserve">Easy high pull</x:t>
  </x:si>
  <x:si>
    <x:t xml:space="preserve">Easy low-bar transition</x:t>
  </x:si>
  <x:si>
    <x:t xml:space="preserve">Easy scapular pull-up</x:t>
  </x:si>
  <x:si>
    <x:t xml:space="preserve">Explosive pull-up</x:t>
  </x:si>
  <x:si>
    <x:t xml:space="preserve">High pull</x:t>
  </x:si>
  <x:si>
    <x:t xml:space="preserve">High pull (chest-to-bar intent)</x:t>
  </x:si>
  <x:si>
    <x:t xml:space="preserve">Jumping muscle-up</x:t>
  </x:si>
  <x:si>
    <x:t xml:space="preserve">Light-band muscle-up</x:t>
  </x:si>
  <x:si>
    <x:t xml:space="preserve">Light-band or strict muscle-up</x:t>
  </x:si>
  <x:si>
    <x:t xml:space="preserve">Low-bar transition</x:t>
  </x:si>
  <x:si>
    <x:t xml:space="preserve">Muscle-up test</x:t>
  </x:si>
  <x:si>
    <x:t xml:space="preserve">Pull-up</x:t>
  </x:si>
  <x:si>
    <x:t xml:space="preserve">Quality muscle-up attempts</x:t>
  </x:si>
  <x:si>
    <x:t xml:space="preserve">Scapular pull-up</x:t>
  </x:si>
  <x:si>
    <x:t xml:space="preserve">Stronger-band back-off muscle-up</x:t>
  </x:si>
  <x:si>
    <x:t xml:space="preserve">Assisted full-depth pistol</x:t>
  </x:si>
  <x:si>
    <x:t xml:space="preserve">reps/leg</x:t>
  </x:si>
  <x:si>
    <x:t xml:space="preserve">Assisted pistol</x:t>
  </x:si>
  <x:si>
    <x:t xml:space="preserve">Assisted smooth pistol</x:t>
  </x:si>
  <x:si>
    <x:t xml:space="preserve">Box pistol</x:t>
  </x:si>
  <x:si>
    <x:t xml:space="preserve">Posterior chain</x:t>
  </x:si>
  <x:si>
    <x:t xml:space="preserve">Sliding hamstring curl</x:t>
  </x:si>
  <x:si>
    <x:t xml:space="preserve">Counterweight pistol</x:t>
  </x:si>
  <x:si>
    <x:t xml:space="preserve">Light-counterweight pistol</x:t>
  </x:si>
  <x:si>
    <x:t xml:space="preserve">Lower-box pistol with counterweight</x:t>
  </x:si>
  <x:si>
    <x:t xml:space="preserve">Pistol clusters</x:t>
  </x:si>
  <x:si>
    <x:t xml:space="preserve">Pistol test</x:t>
  </x:si>
  <x:si>
    <x:t xml:space="preserve">Unassisted pistol</x:t>
  </x:si>
  <x:si>
    <x:t xml:space="preserve">Unassisted pistol to target</x:t>
  </x:si>
  <x:si>
    <x:t xml:space="preserve">Equipment</x:t>
  </x:si>
  <x:si>
    <x:t xml:space="preserve">Min kg</x:t>
  </x:si>
  <x:si>
    <x:t xml:space="preserve">Max kg</x:t>
  </x:si>
  <x:si>
    <x:t xml:space="preserve">Weight vest</x:t>
  </x:si>
  <x:si>
    <x:t xml:space="preserve">Optional added load; 0 kg means bodyweight.</x:t>
  </x:si>
  <x:si>
    <x:t xml:space="preserve">Work seconds</x:t>
  </x:si>
  <x:si>
    <x:t xml:space="preserve">Rest seconds</x:t>
  </x:si>
</x:sst>
</file>

<file path=xl/styles.xml><?xml version="1.0" encoding="utf-8"?>
<ns0:styleSheet xmlns:ns0="http://schemas.openxmlformats.org/spreadsheetml/2006/main">
  <ns0:numFmts count="20">
    <ns0:numFmt numFmtId="164" formatCode="General"/>
    <ns0:numFmt numFmtId="165" formatCode="_-* #,##0.00\ _€_-;\-* #,##0.00\ _€_-;_-* \-??\ _€_-;_-@_-"/>
    <ns0:numFmt numFmtId="166" formatCode="_-* #,##0.00\ _€_-;\-* #,##0.00\ _€_-;_-* \-??\ _€_-;_-@_-"/>
    <ns0:numFmt numFmtId="167" formatCode="_-* #,##0\ _€_-;\-* #,##0\ _€_-;_-* &quot;- &quot;_€_-;_-@_-"/>
    <ns0:numFmt numFmtId="168" formatCode="_-* #,##0\ _€_-;\-* #,##0\ _€_-;_-* &quot;- &quot;_€_-;_-@_-"/>
    <ns0:numFmt numFmtId="169" formatCode="_-* #,##0.00&quot; €&quot;_-;\-* #,##0.00&quot; €&quot;_-;_-* \-??&quot; €&quot;_-;_-@_-"/>
    <ns0:numFmt numFmtId="170" formatCode="_-* #,##0.00&quot; €&quot;_-;\-* #,##0.00&quot; €&quot;_-;_-* \-??&quot; €&quot;_-;_-@_-"/>
    <ns0:numFmt numFmtId="171" formatCode="_-* #,##0&quot; €&quot;_-;\-* #,##0&quot; €&quot;_-;_-* &quot;- €&quot;_-;_-@_-"/>
    <ns0:numFmt numFmtId="172" formatCode="_-* #,##0&quot; €&quot;_-;\-* #,##0&quot; €&quot;_-;_-* &quot;- €&quot;_-;_-@_-"/>
    <ns0:numFmt numFmtId="173" formatCode="0\ %"/>
    <ns0:numFmt numFmtId="174" formatCode="0\ %"/>
    <ns0:numFmt numFmtId="175" formatCode="yyyy\-mm\-dd"/>
    <ns0:numFmt numFmtId="176" formatCode="0"/>
    <ns0:numFmt numFmtId="177" formatCode="hh:mm"/>
    <ns0:numFmt numFmtId="178" formatCode="0.0"/>
    <ns0:numFmt numFmtId="179" formatCode="[m]:ss"/>
    <ns0:numFmt numFmtId="180" formatCode="0.0;\-0.0;;@"/>
    <ns0:numFmt numFmtId="181" formatCode="0.0%;\-0.0%;;@"/>
    <ns0:numFmt numFmtId="182" formatCode="0.0%"/>
    <ns0:numFmt numFmtId="200" formatCode="yyyy-mm-dd"/>
  </ns0:numFmts>
  <ns0:fonts count="15">
    <ns0:font>
      <ns0:sz val="10"/>
      <ns0:name val="Arial"/>
      <ns0:family val="2"/>
    </ns0:font>
    <ns0:font>
      <ns0:sz val="10"/>
      <ns0:name val="Arial"/>
    </ns0:font>
    <ns0:font>
      <ns0:sz val="10"/>
      <ns0:name val="Arial"/>
    </ns0:font>
    <ns0:font>
      <ns0:sz val="10"/>
      <ns0:name val="Arial"/>
    </ns0:font>
    <ns0:font>
      <ns0:sz val="10"/>
      <ns0:name val="Arial"/>
    </ns0:font>
    <ns0:font>
      <ns0:sz val="10"/>
      <ns0:name val="Arial"/>
      <ns0:family val="2"/>
    </ns0:font>
    <ns0:font>
      <ns0:sz val="11"/>
      <ns0:name val="Calibri"/>
    </ns0:font>
    <ns0:font>
      <ns0:b/>
      <ns0:sz val="11"/>
      <ns0:color rgb="FF334155"/>
      <ns0:name val="Arial"/>
    </ns0:font>
    <ns0:font>
      <ns0:b/>
      <ns0:sz val="10"/>
      <ns0:color rgb="FF475569"/>
      <ns0:name val="Arial"/>
    </ns0:font>
    <ns0:font>
      <ns0:sz val="10"/>
      <ns0:color rgb="FF334155"/>
      <ns0:name val="Arial"/>
    </ns0:font>
    <ns0:font>
      <ns0:b/>
      <ns0:sz val="10"/>
      <ns0:color rgb="FF334155"/>
      <ns0:name val="Arial"/>
    </ns0:font>
    <ns0:font>
      <ns0:sz val="10"/>
      <ns0:color rgb="FF334155"/>
      <ns0:name val="Arial"/>
      <ns0:family val="2"/>
    </ns0:font>
    <ns0:font>
      <ns0:b/>
      <ns0:sz val="11"/>
      <ns0:color rgb="FF334155"/>
      <ns0:name val="Arial"/>
      <ns0:family val="2"/>
    </ns0:font>
    <ns0:font>
      <ns0:b/>
      <ns0:sz val="10"/>
      <ns0:color rgb="FF475569"/>
      <ns0:name val="Arial"/>
      <ns0:family val="2"/>
    </ns0:font>
    <ns0:font>
      <ns0:sz val="11"/>
      <ns0:color rgb="FF263343"/>
      <ns0:name val="Arial"/>
      <ns0:family val="2"/>
    </ns0:font>
  </ns0:fonts>
  <ns0:fills count="12">
    <ns0:fill>
      <ns0:patternFill patternType="none"/>
    </ns0:fill>
    <ns0:fill>
      <ns0:patternFill patternType="gray125"/>
    </ns0:fill>
    <ns0:fill>
      <ns0:patternFill patternType="solid">
        <ns0:fgColor rgb="FFE4EAF0"/>
      </ns0:patternFill>
    </ns0:fill>
    <ns0:fill>
      <ns0:patternFill patternType="solid">
        <ns0:fgColor rgb="FFF0F3F4"/>
      </ns0:patternFill>
    </ns0:fill>
    <ns0:fill>
      <ns0:patternFill patternType="solid">
        <ns0:fgColor rgb="FFF7F9FA"/>
      </ns0:patternFill>
    </ns0:fill>
    <ns0:fill>
      <ns0:patternFill patternType="solid">
        <ns0:fgColor rgb="FFFFFFFF"/>
      </ns0:patternFill>
    </ns0:fill>
    <ns0:fill>
      <ns0:patternFill patternType="solid">
        <ns0:fgColor rgb="FFE5F1E9"/>
      </ns0:patternFill>
    </ns0:fill>
    <ns0:fill>
      <ns0:patternFill patternType="solid">
        <ns0:fgColor rgb="FFEAF3ED"/>
      </ns0:patternFill>
    </ns0:fill>
    <ns0:fill>
      <ns0:patternFill patternType="solid">
        <ns0:fgColor rgb="FFF4F9F5"/>
      </ns0:patternFill>
    </ns0:fill>
    <ns0:fill>
      <ns0:patternFill patternType="solid">
        <ns0:fgColor rgb="FFF5F7F9"/>
      </ns0:patternFill>
    </ns0:fill>
    <ns0:fill>
      <ns0:patternFill patternType="solid">
        <ns0:fgColor rgb="FFE8F2EC"/>
      </ns0:patternFill>
    </ns0:fill>
    <ns0:fill>
      <ns0:patternFill patternType="solid">
        <ns0:fgColor rgb="FFF3F8F5"/>
      </ns0:patternFill>
    </ns0:fill>
  </ns0:fills>
  <ns0:borders count="5">
    <ns0:border diagonalUp="0" diagonalDown="0">
      <ns0:left/>
      <ns0:right/>
      <ns0:top/>
      <ns0:bottom/>
      <ns0:diagonal/>
    </ns0:border>
    <ns0:border diagonalUp="0" diagonalDown="0">
      <ns0:left style="thin">
        <ns0:color rgb="FFE5E9ED"/>
      </ns0:left>
      <ns0:right style="thin">
        <ns0:color rgb="FFE5E9ED"/>
      </ns0:right>
      <ns0:top style="thin">
        <ns0:color rgb="FFE5E9ED"/>
      </ns0:top>
      <ns0:bottom style="thin">
        <ns0:color rgb="FFE5E9ED"/>
      </ns0:bottom>
      <ns0:diagonal/>
    </ns0:border>
    <ns0:border diagonalUp="0" diagonalDown="0">
      <ns0:left style="thin">
        <ns0:color rgb="FFE5E9ED"/>
      </ns0:left>
      <ns0:right style="medium">
        <ns0:color rgb="FF94A3B8"/>
      </ns0:right>
      <ns0:top style="thin">
        <ns0:color rgb="FFE5E9ED"/>
      </ns0:top>
      <ns0:bottom style="thin">
        <ns0:color rgb="FFE5E9ED"/>
      </ns0:bottom>
      <ns0:diagonal/>
    </ns0:border>
    <ns0:border diagonalUp="0" diagonalDown="0">
      <ns0:left style="thin">
        <ns0:color rgb="FFC5D1D5"/>
      </ns0:left>
      <ns0:right style="medium">
        <ns0:color rgb="FF94A3B8"/>
      </ns0:right>
      <ns0:top style="thin">
        <ns0:color rgb="FFE5E9ED"/>
      </ns0:top>
      <ns0:bottom style="thin">
        <ns0:color rgb="FFE5E9ED"/>
      </ns0:bottom>
      <ns0:diagonal/>
    </ns0:border>
    <ns0:border diagonalUp="0" diagonalDown="0">
      <ns0:left style="thin">
        <ns0:color rgb="FFC5D1D5"/>
      </ns0:left>
      <ns0:right style="thin">
        <ns0:color rgb="FFE5E9ED"/>
      </ns0:right>
      <ns0:top style="thin">
        <ns0:color rgb="FFE5E9ED"/>
      </ns0:top>
      <ns0:bottom style="thin">
        <ns0:color rgb="FFE5E9ED"/>
      </ns0:bottom>
      <ns0:diagonal/>
    </ns0:border>
  </ns0:borders>
  <ns0:cellStyleXfs count="39">
    <ns0:xf numFmtId="164" fontId="0" fillId="0" borderId="0" applyFont="1" applyBorder="1" applyAlignment="1" applyProtection="1">
      <ns0:alignment horizontal="general" vertical="bottom" wrapText="0" shrinkToFit="0"/>
      <ns0:protection locked="1" hidden="0"/>
    </ns0:xf>
    <ns0:xf numFmtId="0" fontId="1" fillId="0" borderId="0" applyFont="1" applyBorder="0" applyAlignment="0" applyProtection="0"/>
    <ns0:xf numFmtId="0" fontId="1" fillId="0" borderId="0" applyFont="1" applyBorder="0" applyAlignment="0" applyProtection="0"/>
    <ns0:xf numFmtId="0" fontId="2" fillId="0" borderId="0" applyFont="1" applyBorder="0" applyAlignment="0" applyProtection="0"/>
    <ns0:xf numFmtId="0" fontId="2" fillId="0" borderId="0" applyFont="1" applyBorder="0" applyAlignment="0" applyProtection="0"/>
    <ns0:xf numFmtId="0" fontId="0" fillId="0" borderId="0" applyFont="1" applyBorder="0" applyAlignment="0" applyProtection="0"/>
    <ns0:xf numFmtId="0" fontId="0" fillId="0" borderId="0" applyFont="1" applyBorder="0" applyAlignment="0" applyProtection="0"/>
    <ns0:xf numFmtId="0" fontId="0" fillId="0" borderId="0" applyFont="1" applyBorder="0" applyAlignment="0" applyProtection="0"/>
    <ns0:xf numFmtId="0" fontId="0" fillId="0" borderId="0" applyFont="1" applyBorder="0" applyAlignment="0" applyProtection="0"/>
    <ns0:xf numFmtId="0" fontId="0" fillId="0" borderId="0" applyFont="1" applyBorder="0" applyAlignment="0" applyProtection="0"/>
    <ns0:xf numFmtId="0" fontId="0" fillId="0" borderId="0" applyFont="1" applyBorder="0" applyAlignment="0" applyProtection="0"/>
    <ns0:xf numFmtId="0" fontId="0" fillId="0" borderId="0" applyFont="1" applyBorder="0" applyAlignment="0" applyProtection="0"/>
    <ns0:xf numFmtId="0" fontId="0" fillId="0" borderId="0" applyFont="1" applyBorder="0" applyAlignment="0" applyProtection="0"/>
    <ns0:xf numFmtId="0" fontId="0" fillId="0" borderId="0" applyFont="1" applyBorder="0" applyAlignment="0" applyProtection="0"/>
    <ns0:xf numFmtId="0" fontId="0" fillId="0" borderId="0" applyFont="1" applyBorder="0" applyAlignment="0" applyProtection="0"/>
    <ns0:xf numFmtId="43" fontId="1" fillId="0" borderId="0" applyFont="1" applyBorder="0" applyAlignment="0" applyProtection="0"/>
    <ns0:xf numFmtId="41" fontId="1" fillId="0" borderId="0" applyFont="1" applyBorder="0" applyAlignment="0" applyProtection="0"/>
    <ns0:xf numFmtId="44" fontId="1" fillId="0" borderId="0" applyFont="1" applyBorder="0" applyAlignment="0" applyProtection="0"/>
    <ns0:xf numFmtId="42" fontId="1" fillId="0" borderId="0" applyFont="1" applyBorder="0" applyAlignment="0" applyProtection="0"/>
    <ns0:xf numFmtId="9" fontId="1" fillId="0" borderId="0" applyFont="1" applyBorder="0" applyAlignment="0" applyProtection="0"/>
    <ns0:xf numFmtId="165" fontId="4" fillId="0" borderId="0" applyFont="1" applyBorder="0" applyAlignment="0" applyProtection="0"/>
    <ns0:xf numFmtId="166" fontId="4" fillId="0" borderId="0" applyFont="1" applyBorder="0" applyAlignment="0" applyProtection="0"/>
    <ns0:xf numFmtId="166" fontId="4" fillId="0" borderId="0" applyFont="1" applyBorder="0" applyAlignment="0" applyProtection="0"/>
    <ns0:xf numFmtId="167" fontId="4" fillId="0" borderId="0" applyFont="1" applyBorder="0" applyAlignment="0" applyProtection="0"/>
    <ns0:xf numFmtId="168" fontId="4" fillId="0" borderId="0" applyFont="1" applyBorder="0" applyAlignment="0" applyProtection="0"/>
    <ns0:xf numFmtId="168" fontId="4" fillId="0" borderId="0" applyFont="1" applyBorder="0" applyAlignment="0" applyProtection="0"/>
    <ns0:xf numFmtId="169" fontId="4" fillId="0" borderId="0" applyFont="1" applyBorder="0" applyAlignment="0" applyProtection="0"/>
    <ns0:xf numFmtId="170" fontId="4" fillId="0" borderId="0" applyFont="1" applyBorder="0" applyAlignment="0" applyProtection="0"/>
    <ns0:xf numFmtId="170" fontId="4" fillId="0" borderId="0" applyFont="1" applyBorder="0" applyAlignment="0" applyProtection="0"/>
    <ns0:xf numFmtId="171" fontId="4" fillId="0" borderId="0" applyFont="1" applyBorder="0" applyAlignment="0" applyProtection="0"/>
    <ns0:xf numFmtId="172" fontId="4" fillId="0" borderId="0" applyFont="1" applyBorder="0" applyAlignment="0" applyProtection="0"/>
    <ns0:xf numFmtId="172" fontId="4" fillId="0" borderId="0" applyFont="1" applyBorder="0" applyAlignment="0" applyProtection="0"/>
    <ns0:xf numFmtId="164" fontId="5" fillId="0" borderId="0" applyFont="1" applyBorder="1" applyAlignment="1" applyProtection="1">
      <ns0:alignment horizontal="general" vertical="bottom" wrapText="0" shrinkToFit="0"/>
      <ns0:protection locked="1" hidden="0"/>
    </ns0:xf>
    <ns0:xf numFmtId="164" fontId="6" fillId="0" borderId="0" applyFont="1" applyBorder="1" applyAlignment="1" applyProtection="1">
      <ns0:alignment horizontal="general" vertical="bottom" wrapText="0" shrinkToFit="0"/>
      <ns0:protection locked="1" hidden="0"/>
    </ns0:xf>
    <ns0:xf numFmtId="164" fontId="5" fillId="0" borderId="0" applyFont="1" applyBorder="1" applyAlignment="1" applyProtection="1">
      <ns0:alignment horizontal="general" vertical="bottom" wrapText="0" shrinkToFit="0"/>
      <ns0:protection locked="1" hidden="0"/>
    </ns0:xf>
    <ns0:xf numFmtId="164" fontId="5" fillId="0" borderId="0" applyFont="1" applyBorder="1" applyAlignment="1" applyProtection="1">
      <ns0:alignment horizontal="general" vertical="bottom" wrapText="0" shrinkToFit="0"/>
      <ns0:protection locked="1" hidden="0"/>
    </ns0:xf>
    <ns0:xf numFmtId="173" fontId="4" fillId="0" borderId="0" applyFont="1" applyBorder="0" applyAlignment="0" applyProtection="0"/>
    <ns0:xf numFmtId="174" fontId="4" fillId="0" borderId="0" applyFont="1" applyBorder="0" applyAlignment="0" applyProtection="0"/>
    <ns0:xf numFmtId="174" fontId="4" fillId="0" borderId="0" applyFont="1" applyBorder="0" applyAlignment="0" applyProtection="0"/>
  </ns0:cellStyleXfs>
  <ns0:cellXfs count="86">
    <ns0:xf numFmtId="164" fontId="0" fillId="0" borderId="0" xfId="0" applyFont="0" applyBorder="0" applyAlignment="0" applyProtection="0">
      <ns0:alignment horizontal="general" vertical="bottom" wrapText="0" shrinkToFit="0"/>
      <ns0:protection locked="1" hidden="0"/>
    </ns0:xf>
    <ns0:xf numFmtId="164" fontId="5" fillId="0" borderId="0" xfId="34" applyFont="0" applyBorder="0" applyAlignment="1" applyProtection="1">
      <ns0:alignment horizontal="general" vertical="bottom" wrapText="0" shrinkToFit="0"/>
      <ns0:protection locked="1" hidden="0"/>
    </ns0:xf>
    <ns0:xf numFmtId="164" fontId="7" fillId="2" borderId="1" xfId="32" applyFont="1" applyBorder="1" applyAlignment="1" applyProtection="0">
      <ns0:alignment horizontal="general" vertical="top" wrapText="1" shrinkToFit="0"/>
      <ns0:protection locked="1" hidden="0"/>
    </ns0:xf>
    <ns0:xf numFmtId="164" fontId="8" fillId="3" borderId="1" xfId="32" applyFont="1" applyBorder="1" applyAlignment="1" applyProtection="0">
      <ns0:alignment horizontal="general" vertical="top" wrapText="1" shrinkToFit="0"/>
      <ns0:protection locked="1" hidden="0"/>
    </ns0:xf>
    <ns0:xf numFmtId="164" fontId="9" fillId="4" borderId="1" xfId="32" applyFont="1" applyBorder="1" applyAlignment="1" applyProtection="0">
      <ns0:alignment horizontal="general" vertical="top" wrapText="1" shrinkToFit="0"/>
      <ns0:protection locked="1" hidden="0"/>
    </ns0:xf>
    <ns0:xf numFmtId="175" fontId="9" fillId="4" borderId="1" xfId="32" applyFont="1" applyBorder="1" applyAlignment="1" applyProtection="0">
      <ns0:alignment horizontal="general" vertical="top" wrapText="1" shrinkToFit="0"/>
      <ns0:protection locked="1" hidden="0"/>
    </ns0:xf>
    <ns0:xf numFmtId="176" fontId="10" fillId="4" borderId="1" xfId="32" applyFont="1" applyBorder="1" applyAlignment="1" applyProtection="0">
      <ns0:alignment horizontal="general" vertical="top" wrapText="1" shrinkToFit="0"/>
      <ns0:protection locked="1" hidden="0"/>
    </ns0:xf>
    <ns0:xf numFmtId="164" fontId="11" fillId="4" borderId="1" xfId="32" applyFont="1" applyBorder="1" applyAlignment="1" applyProtection="0">
      <ns0:alignment horizontal="general" vertical="top" wrapText="1" shrinkToFit="0"/>
      <ns0:protection locked="1" hidden="0"/>
    </ns0:xf>
    <ns0:xf numFmtId="164" fontId="9" fillId="5" borderId="1" xfId="32" applyFont="1" applyBorder="1" applyAlignment="1" applyProtection="0">
      <ns0:alignment horizontal="general" vertical="top" wrapText="1" shrinkToFit="0"/>
      <ns0:protection locked="1" hidden="0"/>
    </ns0:xf>
    <ns0:xf numFmtId="164" fontId="11" fillId="5" borderId="1" xfId="32" applyFont="1" applyBorder="1" applyAlignment="1" applyProtection="0">
      <ns0:alignment horizontal="general" vertical="top" wrapText="1" shrinkToFit="0"/>
      <ns0:protection locked="1" hidden="0"/>
    </ns0:xf>
    <ns0:xf numFmtId="164" fontId="5" fillId="0" borderId="0" xfId="32" applyFont="1" applyBorder="1" applyAlignment="1" applyProtection="0">
      <ns0:alignment horizontal="general" vertical="top" wrapText="0" shrinkToFit="0"/>
      <ns0:protection locked="1" hidden="0"/>
    </ns0:xf>
    <ns0:xf numFmtId="164" fontId="12" fillId="2" borderId="1" xfId="32" applyFont="1" applyBorder="1" applyAlignment="1" applyProtection="0">
      <ns0:alignment horizontal="general" vertical="top" wrapText="1" shrinkToFit="0"/>
      <ns0:protection locked="1" hidden="0"/>
    </ns0:xf>
    <ns0:xf numFmtId="175" fontId="9" fillId="5" borderId="1" xfId="32" applyFont="1" applyBorder="1" applyAlignment="1" applyProtection="0">
      <ns0:alignment horizontal="general" vertical="top" wrapText="1" shrinkToFit="0"/>
      <ns0:protection locked="1" hidden="0"/>
    </ns0:xf>
    <ns0:xf numFmtId="164" fontId="12" fillId="2" borderId="0" xfId="32" applyFont="1" applyBorder="1" applyAlignment="1" applyProtection="0">
      <ns0:alignment horizontal="general" vertical="center" wrapText="1" shrinkToFit="0"/>
      <ns0:protection locked="1" hidden="0"/>
    </ns0:xf>
    <ns0:xf numFmtId="164" fontId="13" fillId="3" borderId="0" xfId="32" applyFont="1" applyBorder="1" applyAlignment="1" applyProtection="0">
      <ns0:alignment horizontal="general" vertical="center" wrapText="1" shrinkToFit="0"/>
      <ns0:protection locked="1" hidden="0"/>
    </ns0:xf>
    <ns0:xf numFmtId="164" fontId="14" fillId="0" borderId="0" xfId="32" applyFont="1" applyBorder="1" applyAlignment="1" applyProtection="0">
      <ns0:alignment horizontal="general" vertical="center" wrapText="1" shrinkToFit="0"/>
      <ns0:protection locked="1" hidden="0"/>
    </ns0:xf>
    <ns0:xf numFmtId="164" fontId="14" fillId="0" borderId="0" xfId="32" applyFont="1" applyBorder="1" applyAlignment="1" applyProtection="0">
      <ns0:alignment horizontal="general" vertical="center" wrapText="0" shrinkToFit="0"/>
      <ns0:protection locked="1" hidden="0"/>
    </ns0:xf>
    <ns0:xf numFmtId="164" fontId="14" fillId="6" borderId="0" xfId="32" applyFont="1" applyBorder="1" applyAlignment="1" applyProtection="0">
      <ns0:alignment horizontal="general" vertical="center" wrapText="1" shrinkToFit="0"/>
      <ns0:protection locked="1" hidden="0"/>
    </ns0:xf>
    <ns0:xf numFmtId="177" fontId="9" fillId="7" borderId="1" xfId="32" applyFont="1" applyBorder="1" applyAlignment="1" applyProtection="0">
      <ns0:alignment horizontal="general" vertical="top" wrapText="1" shrinkToFit="0"/>
      <ns0:protection locked="1" hidden="0"/>
    </ns0:xf>
    <ns0:xf numFmtId="176" fontId="9" fillId="4" borderId="1" xfId="32" applyFont="1" applyBorder="1" applyAlignment="1" applyProtection="0">
      <ns0:alignment horizontal="general" vertical="top" wrapText="1" shrinkToFit="0"/>
      <ns0:protection locked="1" hidden="0"/>
    </ns0:xf>
    <ns0:xf numFmtId="164" fontId="9" fillId="7" borderId="1" xfId="32" applyFont="1" applyBorder="1" applyAlignment="1" applyProtection="0">
      <ns0:alignment horizontal="general" vertical="top" wrapText="1" shrinkToFit="0"/>
      <ns0:protection locked="1" hidden="0"/>
    </ns0:xf>
    <ns0:xf numFmtId="177" fontId="9" fillId="8" borderId="1" xfId="32" applyFont="1" applyBorder="1" applyAlignment="1" applyProtection="0">
      <ns0:alignment horizontal="general" vertical="top" wrapText="1" shrinkToFit="0"/>
      <ns0:protection locked="1" hidden="0"/>
    </ns0:xf>
    <ns0:xf numFmtId="176" fontId="9" fillId="5" borderId="1" xfId="32" applyFont="1" applyBorder="1" applyAlignment="1" applyProtection="0">
      <ns0:alignment horizontal="general" vertical="top" wrapText="1" shrinkToFit="0"/>
      <ns0:protection locked="1" hidden="0"/>
    </ns0:xf>
    <ns0:xf numFmtId="164" fontId="9" fillId="8" borderId="1" xfId="32" applyFont="1" applyBorder="1" applyAlignment="1" applyProtection="0">
      <ns0:alignment horizontal="general" vertical="top" wrapText="1" shrinkToFit="0"/>
      <ns0:protection locked="1" hidden="0"/>
    </ns0:xf>
    <ns0:xf numFmtId="164" fontId="12" fillId="2" borderId="2" xfId="32" applyFont="1" applyBorder="1" applyAlignment="1" applyProtection="0">
      <ns0:alignment horizontal="center" vertical="center" wrapText="0" shrinkToFit="0"/>
      <ns0:protection locked="1" hidden="0"/>
    </ns0:xf>
    <ns0:xf numFmtId="164" fontId="12" fillId="2" borderId="1" xfId="32" applyFont="1" applyBorder="1" applyAlignment="1" applyProtection="0">
      <ns0:alignment horizontal="center" vertical="center" wrapText="0" shrinkToFit="0"/>
      <ns0:protection locked="1" hidden="0"/>
    </ns0:xf>
    <ns0:xf numFmtId="164" fontId="12" fillId="2" borderId="0" xfId="32" applyFont="1" applyBorder="1" applyAlignment="1" applyProtection="0">
      <ns0:alignment horizontal="general" vertical="bottom" wrapText="0" shrinkToFit="0"/>
      <ns0:protection locked="1" hidden="0"/>
    </ns0:xf>
    <ns0:xf numFmtId="164" fontId="8" fillId="3" borderId="1" xfId="32" applyFont="1" applyBorder="1" applyAlignment="1" applyProtection="0">
      <ns0:alignment horizontal="center" vertical="center" wrapText="1" shrinkToFit="0"/>
      <ns0:protection locked="1" hidden="0"/>
    </ns0:xf>
    <ns0:xf numFmtId="164" fontId="13" fillId="3" borderId="3" xfId="32" applyFont="1" applyBorder="1" applyAlignment="1" applyProtection="0">
      <ns0:alignment horizontal="center" vertical="center" wrapText="1" shrinkToFit="0"/>
      <ns0:protection locked="1" hidden="0"/>
    </ns0:xf>
    <ns0:xf numFmtId="164" fontId="13" fillId="3" borderId="1" xfId="32" applyFont="1" applyBorder="1" applyAlignment="1" applyProtection="0">
      <ns0:alignment horizontal="center" vertical="center" wrapText="1" shrinkToFit="0"/>
      <ns0:protection locked="1" hidden="0"/>
    </ns0:xf>
    <ns0:xf numFmtId="164" fontId="13" fillId="3" borderId="2" xfId="32" applyFont="1" applyBorder="1" applyAlignment="1" applyProtection="0">
      <ns0:alignment horizontal="center" vertical="center" wrapText="1" shrinkToFit="0"/>
      <ns0:protection locked="1" hidden="0"/>
    </ns0:xf>
    <ns0:xf numFmtId="164" fontId="13" fillId="3" borderId="4" xfId="32" applyFont="1" applyBorder="1" applyAlignment="1" applyProtection="0">
      <ns0:alignment horizontal="center" vertical="center" wrapText="1" shrinkToFit="0"/>
      <ns0:protection locked="1" hidden="0"/>
    </ns0:xf>
    <ns0:xf numFmtId="175" fontId="9" fillId="9" borderId="1" xfId="32" applyFont="1" applyBorder="1" applyAlignment="1" applyProtection="0">
      <ns0:alignment horizontal="general" vertical="center" wrapText="1" shrinkToFit="0"/>
      <ns0:protection locked="1" hidden="0"/>
    </ns0:xf>
    <ns0:xf numFmtId="164" fontId="9" fillId="9" borderId="1" xfId="32" applyFont="1" applyBorder="1" applyAlignment="1" applyProtection="0">
      <ns0:alignment horizontal="general" vertical="center" wrapText="1" shrinkToFit="0"/>
      <ns0:protection locked="1" hidden="0"/>
    </ns0:xf>
    <ns0:xf numFmtId="164" fontId="9" fillId="9" borderId="1" xfId="32" applyFont="1" applyBorder="1" applyAlignment="1" applyProtection="0">
      <ns0:alignment horizontal="general" vertical="top" wrapText="1" shrinkToFit="0"/>
      <ns0:protection locked="1" hidden="0"/>
    </ns0:xf>
    <ns0:xf numFmtId="164" fontId="9" fillId="10" borderId="1" xfId="32" applyFont="1" applyBorder="1" applyAlignment="1" applyProtection="0">
      <ns0:alignment horizontal="general" vertical="center" wrapText="1" shrinkToFit="0"/>
      <ns0:protection locked="1" hidden="0"/>
    </ns0:xf>
    <ns0:xf numFmtId="164" fontId="11" fillId="10" borderId="3" xfId="32" applyFont="1" applyBorder="1" applyAlignment="1" applyProtection="0">
      <ns0:alignment horizontal="center" vertical="center" wrapText="1" shrinkToFit="0"/>
      <ns0:protection locked="1" hidden="0"/>
    </ns0:xf>
    <ns0:xf numFmtId="176" fontId="11" fillId="10" borderId="1" xfId="32" applyFont="1" applyBorder="1" applyAlignment="1" applyProtection="0">
      <ns0:alignment horizontal="center" vertical="center" wrapText="1" shrinkToFit="0"/>
      <ns0:protection locked="1" hidden="0"/>
    </ns0:xf>
    <ns0:xf numFmtId="176" fontId="11" fillId="10" borderId="2" xfId="32" applyFont="1" applyBorder="1" applyAlignment="1" applyProtection="0">
      <ns0:alignment horizontal="center" vertical="center" wrapText="1" shrinkToFit="0"/>
      <ns0:protection locked="1" hidden="0"/>
    </ns0:xf>
    <ns0:xf numFmtId="164" fontId="11" fillId="10" borderId="4" xfId="32" applyFont="1" applyBorder="1" applyAlignment="1" applyProtection="0">
      <ns0:alignment horizontal="general" vertical="center" wrapText="1" shrinkToFit="0"/>
      <ns0:protection locked="1" hidden="0"/>
    </ns0:xf>
    <ns0:xf numFmtId="164" fontId="11" fillId="10" borderId="1" xfId="32" applyFont="1" applyBorder="1" applyAlignment="1" applyProtection="0">
      <ns0:alignment horizontal="general" vertical="center" wrapText="1" shrinkToFit="0"/>
      <ns0:protection locked="1" hidden="0"/>
    </ns0:xf>
    <ns0:xf numFmtId="178" fontId="5" fillId="9" borderId="0" xfId="32" applyFont="1" applyBorder="1" applyAlignment="1" applyProtection="0">
      <ns0:alignment horizontal="general" vertical="center" wrapText="0" shrinkToFit="0"/>
      <ns0:protection locked="1" hidden="0"/>
    </ns0:xf>
    <ns0:xf numFmtId="178" fontId="5" fillId="10" borderId="0" xfId="32" applyFont="1" applyBorder="1" applyAlignment="1" applyProtection="0">
      <ns0:alignment horizontal="general" vertical="center" wrapText="0" shrinkToFit="0"/>
      <ns0:protection locked="1" hidden="0"/>
    </ns0:xf>
    <ns0:xf numFmtId="175" fontId="9" fillId="5" borderId="1" xfId="32" applyFont="1" applyBorder="1" applyAlignment="1" applyProtection="0">
      <ns0:alignment horizontal="general" vertical="center" wrapText="1" shrinkToFit="0"/>
      <ns0:protection locked="1" hidden="0"/>
    </ns0:xf>
    <ns0:xf numFmtId="164" fontId="9" fillId="5" borderId="1" xfId="32" applyFont="1" applyBorder="1" applyAlignment="1" applyProtection="0">
      <ns0:alignment horizontal="general" vertical="center" wrapText="1" shrinkToFit="0"/>
      <ns0:protection locked="1" hidden="0"/>
    </ns0:xf>
    <ns0:xf numFmtId="164" fontId="9" fillId="11" borderId="1" xfId="32" applyFont="1" applyBorder="1" applyAlignment="1" applyProtection="0">
      <ns0:alignment horizontal="general" vertical="center" wrapText="1" shrinkToFit="0"/>
      <ns0:protection locked="1" hidden="0"/>
    </ns0:xf>
    <ns0:xf numFmtId="164" fontId="11" fillId="11" borderId="3" xfId="32" applyFont="1" applyBorder="1" applyAlignment="1" applyProtection="0">
      <ns0:alignment horizontal="center" vertical="center" wrapText="1" shrinkToFit="0"/>
      <ns0:protection locked="1" hidden="0"/>
    </ns0:xf>
    <ns0:xf numFmtId="179" fontId="11" fillId="11" borderId="1" xfId="32" applyFont="1" applyBorder="1" applyAlignment="1" applyProtection="0">
      <ns0:alignment horizontal="center" vertical="center" wrapText="1" shrinkToFit="0"/>
      <ns0:protection locked="1" hidden="0"/>
    </ns0:xf>
    <ns0:xf numFmtId="176" fontId="11" fillId="11" borderId="2" xfId="32" applyFont="1" applyBorder="1" applyAlignment="1" applyProtection="0">
      <ns0:alignment horizontal="center" vertical="center" wrapText="1" shrinkToFit="0"/>
      <ns0:protection locked="1" hidden="0"/>
    </ns0:xf>
    <ns0:xf numFmtId="176" fontId="11" fillId="11" borderId="1" xfId="32" applyFont="1" applyBorder="1" applyAlignment="1" applyProtection="0">
      <ns0:alignment horizontal="center" vertical="center" wrapText="1" shrinkToFit="0"/>
      <ns0:protection locked="1" hidden="0"/>
    </ns0:xf>
    <ns0:xf numFmtId="164" fontId="11" fillId="11" borderId="4" xfId="32" applyFont="1" applyBorder="1" applyAlignment="1" applyProtection="0">
      <ns0:alignment horizontal="general" vertical="center" wrapText="1" shrinkToFit="0"/>
      <ns0:protection locked="1" hidden="0"/>
    </ns0:xf>
    <ns0:xf numFmtId="164" fontId="11" fillId="11" borderId="1" xfId="32" applyFont="1" applyBorder="1" applyAlignment="1" applyProtection="0">
      <ns0:alignment horizontal="general" vertical="center" wrapText="1" shrinkToFit="0"/>
      <ns0:protection locked="1" hidden="0"/>
    </ns0:xf>
    <ns0:xf numFmtId="178" fontId="5" fillId="5" borderId="0" xfId="32" applyFont="1" applyBorder="1" applyAlignment="1" applyProtection="0">
      <ns0:alignment horizontal="general" vertical="center" wrapText="0" shrinkToFit="0"/>
      <ns0:protection locked="1" hidden="0"/>
    </ns0:xf>
    <ns0:xf numFmtId="178" fontId="5" fillId="11" borderId="0" xfId="32" applyFont="1" applyBorder="1" applyAlignment="1" applyProtection="0">
      <ns0:alignment horizontal="general" vertical="center" wrapText="0" shrinkToFit="0"/>
      <ns0:protection locked="1" hidden="0"/>
    </ns0:xf>
    <ns0:xf numFmtId="179" fontId="11" fillId="10" borderId="1" xfId="32" applyFont="1" applyBorder="1" applyAlignment="1" applyProtection="0">
      <ns0:alignment horizontal="center" vertical="center" wrapText="1" shrinkToFit="0"/>
      <ns0:protection locked="1" hidden="0"/>
    </ns0:xf>
    <ns0:xf numFmtId="164" fontId="12" fillId="2" borderId="0" xfId="32" applyFont="1" applyBorder="0" applyAlignment="1" applyProtection="1">
      <ns0:alignment horizontal="general" vertical="bottom" wrapText="0" shrinkToFit="0"/>
      <ns0:protection locked="1" hidden="0"/>
    </ns0:xf>
    <ns0:xf numFmtId="164" fontId="13" fillId="3" borderId="0" xfId="32" applyFont="1" applyBorder="1" applyAlignment="1" applyProtection="0">
      <ns0:alignment horizontal="general" vertical="bottom" wrapText="1" shrinkToFit="0"/>
      <ns0:protection locked="1" hidden="0"/>
    </ns0:xf>
    <ns0:xf numFmtId="175" fontId="14" fillId="0" borderId="0" xfId="32" applyFont="1" applyBorder="1" applyAlignment="1" applyProtection="0">
      <ns0:alignment horizontal="general" vertical="center" wrapText="0" shrinkToFit="0"/>
      <ns0:protection locked="1" hidden="0"/>
    </ns0:xf>
    <ns0:xf numFmtId="178" fontId="14" fillId="0" borderId="0" xfId="32" applyFont="1" applyBorder="1" applyAlignment="1" applyProtection="0">
      <ns0:alignment horizontal="general" vertical="center" wrapText="1" shrinkToFit="0"/>
      <ns0:protection locked="1" hidden="0"/>
    </ns0:xf>
    <ns0:xf numFmtId="180" fontId="14" fillId="0" borderId="0" xfId="32" applyFont="1" applyBorder="1" applyAlignment="1" applyProtection="0">
      <ns0:alignment horizontal="general" vertical="center" wrapText="1" shrinkToFit="0"/>
      <ns0:protection locked="1" hidden="0"/>
    </ns0:xf>
    <ns0:xf numFmtId="181" fontId="14" fillId="0" borderId="0" xfId="32" applyFont="1" applyBorder="1" applyAlignment="1" applyProtection="0">
      <ns0:alignment horizontal="general" vertical="center" wrapText="1" shrinkToFit="0"/>
      <ns0:protection locked="1" hidden="0"/>
    </ns0:xf>
    <ns0:xf numFmtId="175" fontId="5" fillId="0" borderId="0" xfId="32" applyFont="1" applyBorder="1" applyAlignment="1" applyProtection="0">
      <ns0:alignment horizontal="general" vertical="bottom" wrapText="0" shrinkToFit="0"/>
      <ns0:protection locked="1" hidden="0"/>
    </ns0:xf>
    <ns0:xf numFmtId="175" fontId="12" fillId="2" borderId="0" xfId="32" applyFont="1" applyBorder="1" applyAlignment="1" applyProtection="0">
      <ns0:alignment horizontal="general" vertical="bottom" wrapText="0" shrinkToFit="0"/>
      <ns0:protection locked="1" hidden="0"/>
    </ns0:xf>
    <ns0:xf numFmtId="175" fontId="13" fillId="3" borderId="0" xfId="32" applyFont="1" applyBorder="1" applyAlignment="1" applyProtection="0">
      <ns0:alignment horizontal="general" vertical="center" wrapText="0" shrinkToFit="0"/>
      <ns0:protection locked="1" hidden="0"/>
    </ns0:xf>
    <ns0:xf numFmtId="164" fontId="13" fillId="3" borderId="0" xfId="32" applyFont="1" applyBorder="1" applyAlignment="1" applyProtection="0">
      <ns0:alignment horizontal="general" vertical="center" wrapText="0" shrinkToFit="0"/>
      <ns0:protection locked="1" hidden="0"/>
    </ns0:xf>
    <ns0:xf numFmtId="178" fontId="14" fillId="6" borderId="0" xfId="32" applyFont="1" applyBorder="1" applyAlignment="1" applyProtection="0">
      <ns0:alignment horizontal="general" vertical="center" wrapText="0" shrinkToFit="0"/>
      <ns0:protection locked="1" hidden="0"/>
    </ns0:xf>
    <ns0:xf numFmtId="164" fontId="5" fillId="0" borderId="0" xfId="32" applyFont="1" applyBorder="1" applyAlignment="1" applyProtection="0">
      <ns0:alignment horizontal="general" vertical="bottom" wrapText="1" shrinkToFit="0"/>
      <ns0:protection locked="1" hidden="0"/>
    </ns0:xf>
    <ns0:xf numFmtId="164" fontId="14" fillId="6" borderId="0" xfId="32" applyFont="1" applyBorder="1" applyAlignment="1" applyProtection="0">
      <ns0:alignment horizontal="general" vertical="center" wrapText="0" shrinkToFit="0"/>
      <ns0:protection locked="1" hidden="0"/>
    </ns0:xf>
    <ns0:xf numFmtId="182" fontId="14" fillId="6" borderId="0" xfId="32" applyFont="1" applyBorder="1" applyAlignment="1" applyProtection="0">
      <ns0:alignment horizontal="general" vertical="center" wrapText="0" shrinkToFit="0"/>
      <ns0:protection locked="1" hidden="0"/>
    </ns0:xf>
    <ns0:xf numFmtId="164" fontId="5" fillId="6" borderId="0" xfId="32" applyFont="1" applyBorder="1" applyAlignment="1" applyProtection="0">
      <ns0:alignment horizontal="general" vertical="bottom" wrapText="0" shrinkToFit="0"/>
      <ns0:protection locked="1" hidden="0"/>
    </ns0:xf>
    <ns0:xf numFmtId="178" fontId="5" fillId="0" borderId="0" xfId="32" applyFont="1" applyBorder="1" applyAlignment="1" applyProtection="0">
      <ns0:alignment horizontal="general" vertical="bottom" wrapText="0" shrinkToFit="0"/>
      <ns0:protection locked="1" hidden="0"/>
    </ns0:xf>
    <ns0:xf numFmtId="200" fontId="9" fillId="4" borderId="1" xfId="0" applyNumberFormat="1" applyFont="1" applyFill="1" applyBorder="1" applyAlignment="1">
      <ns0:alignment horizontal="general" vertical="top" wrapText="1"/>
    </ns0:xf>
    <ns0:xf numFmtId="176" fontId="11" fillId="10" borderId="1" xfId="0" applyNumberFormat="1" applyFont="1" applyFill="1" applyBorder="1" applyAlignment="1">
      <ns0:alignment horizontal="center" vertical="center" wrapText="1"/>
    </ns0:xf>
    <ns0:xf numFmtId="176" fontId="11" fillId="10" borderId="2" xfId="0" applyNumberFormat="1" applyFont="1" applyFill="1" applyBorder="1" applyAlignment="1">
      <ns0:alignment horizontal="center" vertical="center" wrapText="1"/>
    </ns0:xf>
    <ns0:xf numFmtId="176" fontId="11" fillId="11" borderId="1" xfId="0" applyNumberFormat="1" applyFont="1" applyFill="1" applyBorder="1" applyAlignment="1">
      <ns0:alignment horizontal="center" vertical="center" wrapText="1"/>
    </ns0:xf>
    <ns0:xf numFmtId="176" fontId="11" fillId="11" borderId="2" xfId="0" applyNumberFormat="1" applyFont="1" applyFill="1" applyBorder="1" applyAlignment="1">
      <ns0:alignment horizontal="center" vertical="center" wrapText="1"/>
    </ns0:xf>
    <ns0:xf numFmtId="179" fontId="11" fillId="11" borderId="1" xfId="0" applyNumberFormat="1" applyFont="1" applyFill="1" applyBorder="1" applyAlignment="1">
      <ns0:alignment horizontal="center" vertical="center" wrapText="1"/>
    </ns0:xf>
    <ns0:xf numFmtId="178" fontId="11" fillId="11" borderId="1" xfId="0" applyNumberFormat="1" applyFont="1" applyFill="1" applyBorder="1" applyAlignment="1">
      <ns0:alignment horizontal="center" vertical="center" wrapText="1"/>
    </ns0:xf>
    <ns0:xf numFmtId="178" fontId="11" fillId="10" borderId="1" xfId="0" applyNumberFormat="1" applyFont="1" applyFill="1" applyBorder="1" applyAlignment="1">
      <ns0:alignment horizontal="center" vertical="center" wrapText="1"/>
    </ns0:xf>
    <ns0:xf numFmtId="200" fontId="14" fillId="0" borderId="0" xfId="0" applyNumberFormat="1" applyFont="1" applyFill="1" applyBorder="1" applyAlignment="1">
      <ns0:alignment horizontal="general" vertical="center" wrapText="0"/>
    </ns0:xf>
    <ns0:xf numFmtId="200" fontId="0" fillId="0" borderId="0" xfId="0" applyNumberFormat="1" applyFont="1" applyFill="1" applyBorder="1" applyAlignment="1">
      <ns0:alignment horizontal="general" vertical="bottom" wrapText="0"/>
    </ns0:xf>
    <ns0:xf numFmtId="200" fontId="12" fillId="2" borderId="0" xfId="0" applyNumberFormat="1" applyFont="1" applyFill="1" applyBorder="1" applyAlignment="1">
      <ns0:alignment horizontal="general" vertical="bottom" wrapText="0"/>
    </ns0:xf>
    <ns0:xf numFmtId="200" fontId="13" fillId="3" borderId="0" xfId="0" applyNumberFormat="1" applyFont="1" applyFill="1" applyBorder="1" applyAlignment="1">
      <ns0:alignment horizontal="general" vertical="center" wrapText="0"/>
    </ns0:xf>
    <ns0:xf numFmtId="164" fontId="9" fillId="9" borderId="1" xfId="0" applyNumberFormat="1" applyFont="1" applyFill="1" applyBorder="1" applyAlignment="1">
      <ns0:alignment horizontal="general" vertical="top" wrapText="1"/>
    </ns0:xf>
    <ns0:xf numFmtId="164" fontId="9" fillId="5" borderId="1" xfId="0" applyNumberFormat="1" applyFont="1" applyFill="1" applyBorder="1" applyAlignment="1">
      <ns0:alignment horizontal="general" vertical="top" wrapText="1"/>
    </ns0:xf>
    <ns0:xf numFmtId="9" fontId="5" fillId="0" borderId="0" xfId="32" applyFont="1" applyBorder="1" applyAlignment="1" applyProtection="0" applyNumberFormat="1">
      <ns0:alignment horizontal="general" vertical="bottom" wrapText="0" shrinkToFit="0"/>
      <ns0:protection locked="1" hidden="0"/>
    </ns0:xf>
  </ns0:cellXfs>
  <ns0:cellStyles count="25">
    <ns0:cellStyle name="Normal" xfId="0"/>
    <ns0:cellStyle name="Comma" xfId="15"/>
    <ns0:cellStyle name="Comma [0]" xfId="16"/>
    <ns0:cellStyle name="Currency" xfId="17"/>
    <ns0:cellStyle name="Currency [0]" xfId="18"/>
    <ns0:cellStyle name="Percent" xfId="19"/>
    <ns0:cellStyle name="Comma" xfId="20"/>
    <ns0:cellStyle name="Comma 1" xfId="21"/>
    <ns0:cellStyle name="Comma 2" xfId="22"/>
    <ns0:cellStyle name="Comma [0]" xfId="23"/>
    <ns0:cellStyle name="Comma [0] 2" xfId="24"/>
    <ns0:cellStyle name="Comma [0] 3" xfId="25"/>
    <ns0:cellStyle name="Currency" xfId="26"/>
    <ns0:cellStyle name="Currency 3" xfId="27"/>
    <ns0:cellStyle name="Currency 4" xfId="28"/>
    <ns0:cellStyle name="Currency [0]" xfId="29"/>
    <ns0:cellStyle name="Currency [0] 4" xfId="30"/>
    <ns0:cellStyle name="Currency [0] 5" xfId="31"/>
    <ns0:cellStyle name="Normal" xfId="32"/>
    <ns0:cellStyle name="Normal 1" xfId="33"/>
    <ns0:cellStyle name="Normal 5" xfId="34"/>
    <ns0:cellStyle name="Normal 6" xfId="35"/>
    <ns0:cellStyle name="Percent" xfId="36"/>
    <ns0:cellStyle name="Percent 6" xfId="37"/>
    <ns0:cellStyle name="Percent 7" xfId="38"/>
  </ns0:cellStyles>
  <ns0:dxfs count="7">
    <ns0:dxf>
      <ns0:fill>
        <ns0:patternFill>
          <ns0:bgColor rgb="FF000000"/>
        </ns0:patternFill>
      </ns0:fill>
    </ns0:dxf>
    <ns0:dxf>
      <ns0:fill>
        <ns0:patternFill>
          <ns0:bgColor rgb="FFE4EAF0"/>
        </ns0:patternFill>
      </ns0:fill>
    </ns0:dxf>
    <ns0:dxf>
      <ns0:fill>
        <ns0:patternFill>
          <ns0:bgColor rgb="FFF0F3F4"/>
        </ns0:patternFill>
      </ns0:fill>
    </ns0:dxf>
    <ns0:dxf>
      <ns0:fill>
        <ns0:patternFill>
          <ns0:bgColor rgb="FF263343"/>
        </ns0:patternFill>
      </ns0:fill>
    </ns0:dxf>
    <ns0:dxf>
      <ns0:fill>
        <ns0:patternFill>
          <ns0:bgColor rgb="FF334155"/>
        </ns0:patternFill>
      </ns0:fill>
    </ns0:dxf>
    <ns0:dxf>
      <ns0:fill>
        <ns0:patternFill>
          <ns0:bgColor rgb="FF475569"/>
        </ns0:patternFill>
      </ns0:fill>
    </ns0:dxf>
    <ns0:dxf>
      <ns0:fill>
        <ns0:patternFill>
          <ns0:bgColor rgb="FFE5F1E9"/>
        </ns0:patternFill>
      </ns0:fill>
    </ns0:dxf>
  </ns0:dxfs>
  <ns0:colors>
    <ns0:indexedColors>
      <ns0:rgbColor rgb="FF000000"/>
      <ns0:rgbColor rgb="FFFFFFFF"/>
      <ns0:rgbColor rgb="FFFF0000"/>
      <ns0:rgbColor rgb="FF00FF00"/>
      <ns0:rgbColor rgb="FF0000FF"/>
      <ns0:rgbColor rgb="FFFFFF00"/>
      <ns0:rgbColor rgb="FFFF00FF"/>
      <ns0:rgbColor rgb="FF00FFFF"/>
      <ns0:rgbColor rgb="FF800000"/>
      <ns0:rgbColor rgb="FF008000"/>
      <ns0:rgbColor rgb="FF000080"/>
      <ns0:rgbColor rgb="FF808000"/>
      <ns0:rgbColor rgb="FF800080"/>
      <ns0:rgbColor rgb="FF008080"/>
      <ns0:rgbColor rgb="FFE4EAF0"/>
      <ns0:rgbColor rgb="FF475569"/>
      <ns0:rgbColor rgb="FF9999FF"/>
      <ns0:rgbColor rgb="FF993366"/>
      <ns0:rgbColor rgb="FFF4F9F5"/>
      <ns0:rgbColor rgb="FFE5F1E9"/>
      <ns0:rgbColor rgb="FF660066"/>
      <ns0:rgbColor rgb="FFFF8080"/>
      <ns0:rgbColor rgb="FF0066CC"/>
      <ns0:rgbColor rgb="FFC5D1D5"/>
      <ns0:rgbColor rgb="FF000080"/>
      <ns0:rgbColor rgb="FFFF00FF"/>
      <ns0:rgbColor rgb="FFFFFF00"/>
      <ns0:rgbColor rgb="FF00FFFF"/>
      <ns0:rgbColor rgb="FF800080"/>
      <ns0:rgbColor rgb="FF800000"/>
      <ns0:rgbColor rgb="FF008080"/>
      <ns0:rgbColor rgb="FF0000FF"/>
      <ns0:rgbColor rgb="FF00CCFF"/>
      <ns0:rgbColor rgb="FFE8F2EC"/>
      <ns0:rgbColor rgb="FFEAF3ED"/>
      <ns0:rgbColor rgb="FFF3F8F5"/>
      <ns0:rgbColor rgb="FFF0F3F4"/>
      <ns0:rgbColor rgb="FFF5F7F9"/>
      <ns0:rgbColor rgb="FFF7F9FA"/>
      <ns0:rgbColor rgb="FFE5E9ED"/>
      <ns0:rgbColor rgb="FF3366FF"/>
      <ns0:rgbColor rgb="FF33CCCC"/>
      <ns0:rgbColor rgb="FF99CC00"/>
      <ns0:rgbColor rgb="FFFFCC00"/>
      <ns0:rgbColor rgb="FFFF9900"/>
      <ns0:rgbColor rgb="FFFF6600"/>
      <ns0:rgbColor rgb="FF596E68"/>
      <ns0:rgbColor rgb="FF94A3B8"/>
      <ns0:rgbColor rgb="FF003366"/>
      <ns0:rgbColor rgb="FF339966"/>
      <ns0:rgbColor rgb="FF003300"/>
      <ns0:rgbColor rgb="FF334155"/>
      <ns0:rgbColor rgb="FF993300"/>
      <ns0:rgbColor rgb="FF993366"/>
      <ns0:rgbColor rgb="FF33465E"/>
      <ns0:rgbColor rgb="FF263343"/>
    </ns0:indexedColors>
  </ns0:colors>
</ns0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2deff00b34495b" /><Relationship Type="http://schemas.openxmlformats.org/officeDocument/2006/relationships/theme" Target="/xl/theme/theme1.xml" Id="R962aacd4fa9d451c" /><Relationship Type="http://schemas.openxmlformats.org/officeDocument/2006/relationships/sharedStrings" Target="/xl/sharedStrings.xml" Id="R085457611c4e4165" /><Relationship Type="http://schemas.openxmlformats.org/officeDocument/2006/relationships/worksheet" Target="/xl/worksheets/sheet1.xml" Id="Rc99a68d56f4e4ca8" /><Relationship Type="http://schemas.openxmlformats.org/officeDocument/2006/relationships/worksheet" Target="/xl/worksheets/sheet2.xml" Id="R01bec6e334924e84" /><Relationship Type="http://schemas.openxmlformats.org/officeDocument/2006/relationships/worksheet" Target="/xl/worksheets/sheet3.xml" Id="R6ae4dc4e5cf74c50" /><Relationship Type="http://schemas.openxmlformats.org/officeDocument/2006/relationships/worksheet" Target="/xl/worksheets/sheet4.xml" Id="R39a89036e7a942a0" /><Relationship Type="http://schemas.openxmlformats.org/officeDocument/2006/relationships/worksheet" Target="/xl/worksheets/sheet5.xml" Id="R7630a26f04e947f4" /></Relationships>
</file>

<file path=xl/tables/table1.xml><?xml version="1.0" encoding="utf-8"?>
<x:table xmlns:x="http://schemas.openxmlformats.org/spreadsheetml/2006/main" id="2" name="TrainingScoring" displayName="TrainingScoring" ref="A2:S218" headerRowCount="1" totalsRowCount="0" totalsRowShown="0">
  <x:tableColumns count="19">
    <x:tableColumn id="1" name="Date"/>
    <x:tableColumn id="2" name="Session"/>
    <x:tableColumn id="3" name="Exercise"/>
    <x:tableColumn id="4" name="Unit"/>
    <x:tableColumn id="5" name="Sets"/>
    <x:tableColumn id="6" name="Amount per set"/>
    <x:tableColumn id="7" name="Target"/>
    <x:tableColumn id="8" name="Result"/>
    <x:tableColumn id="9" name="Exercise performance (%)"/>
    <x:tableColumn id="10" name="Base intensity"/>
    <x:tableColumn id="11" name="Planned kg"/>
    <x:tableColumn id="12" name="Growth per kg"/>
    <x:tableColumn id="13" name="Loaded intensity"/>
    <x:tableColumn id="14" name="Set weight"/>
    <x:tableColumn id="15" name="Contribution"/>
    <x:tableColumn id="16" name="Planned intensity"/>
    <x:tableColumn id="17" name="Performance"/>
    <x:tableColumn id="18" name="Scored metrics"/>
    <x:tableColumn id="19" name="Planned metric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xerciseArsenal" displayName="ExerciseArsenal" ref="A2:E58" headerRowCount="1" totalsRowCount="0" totalsRowShown="0">
  <x:tableColumns count="5">
    <x:tableColumn id="1" name="Group"/>
    <x:tableColumn id="2" name="Exercise"/>
    <x:tableColumn id="3" name="Unit"/>
    <x:tableColumn id="4" name="Base intensity (0–10)"/>
    <x:tableColumn id="5" name="Growth per kg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'1.0' encoding='utf-8'?>
<Relationships xmlns="http://schemas.openxmlformats.org/package/2006/relationships"><Relationship Type="http://schemas.openxmlformats.org/officeDocument/2006/relationships/table" Target="/xl/tables/table1.xml" Id="R11eaa794813c4a9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695327b9fa04188" /></Relationships>
</file>

<file path=xl/worksheets/sheet1.xml><?xml version="1.0" encoding="utf-8"?>
<x:worksheet xmlns:x="http://schemas.openxmlformats.org/spreadsheetml/2006/main">
  <x:sheetPr>
    <x:tabColor rgb="FF33465E"/>
  </x:sheetPr>
  <x:sheetViews>
    <x:sheetView showGridLines="0" workbookViewId="0"/>
  </x:sheetViews>
  <x:sheetFormatPr defaultColWidth="8.6796875" defaultRowHeight="15"/>
  <x:cols>
    <x:col min="1" max="2" width="15" style="1" hidden="0" customWidth="1"/>
    <x:col min="3" max="3" width="28" style="1" hidden="0" customWidth="1"/>
    <x:col min="4" max="6" width="55" style="1" hidden="0" customWidth="1"/>
    <x:col min="7" max="7" width="16" style="1" hidden="0" customWidth="1"/>
    <x:col min="8" max="9" width="62" style="1" hidden="0" customWidth="1"/>
  </x:cols>
  <x:sheetData>
    <x:row r="1" ht="26" hidden="0" customHeight="1">
      <x:c r="A1" s="2" t="s">
        <x:v>0</x:v>
      </x:c>
      <x:c r="B1" s="2"/>
      <x:c r="C1" s="2"/>
      <x:c r="D1" s="2"/>
      <x:c r="E1" s="2"/>
      <x:c r="F1" s="2"/>
      <x:c r="G1" s="2"/>
    </x:row>
    <x:row r="2" ht="28" hidden="0" customHeight="1">
      <x:c r="A2" s="3" t="s">
        <x:v>1</x:v>
      </x:c>
      <x:c r="B2" s="3" t="s">
        <x:v>2</x:v>
      </x:c>
      <x:c r="C2" s="3" t="s">
        <x:v>3</x:v>
      </x:c>
      <x:c r="D2" s="3" t="s">
        <x:v>4</x:v>
      </x:c>
      <x:c r="E2" s="3" t="s">
        <x:v>5</x:v>
      </x:c>
      <x:c r="F2" s="3" t="s">
        <x:v>6</x:v>
      </x:c>
      <x:c r="G2" s="3" t="s">
        <x:v>7</x:v>
      </x:c>
    </x:row>
    <x:row r="3" ht="54" hidden="0" customHeight="1">
      <x:c r="A3" s="4" t="s">
        <x:v>8</x:v>
      </x:c>
      <x:c r="B3" s="4" t="s">
        <x:v>9</x:v>
      </x:c>
      <x:c r="C3" s="4" t="str">
        <x:v>12-week calisthenics and movement plan</x:v>
      </x:c>
      <x:c r="D3" s="4" t="s">
        <x:v>10</x:v>
      </x:c>
      <x:c r="E3" s="71" t="d">
        <x:v>2026-11-02T12:00:00.000Z</x:v>
      </x:c>
      <x:c r="F3" s="6" t="n">
        <x:v>5</x:v>
      </x:c>
      <x:c r="G3" s="6" t="n">
        <x:v>5</x:v>
      </x:c>
    </x:row>
    <x:row r="4" ht="18" hidden="0" customHeight="1"/>
    <x:row r="5" ht="26" hidden="0" customHeight="1">
      <x:c r="A5" s="2" t="s">
        <x:v>11</x:v>
      </x:c>
      <x:c r="B5" s="2"/>
      <x:c r="C5" s="2"/>
      <x:c r="D5" s="2"/>
      <x:c r="E5" s="2"/>
      <x:c r="F5" s="2"/>
      <x:c r="G5" s="2"/>
    </x:row>
    <x:row r="6" ht="28" hidden="0" customHeight="1">
      <x:c r="A6" s="3" t="s">
        <x:v>12</x:v>
      </x:c>
      <x:c r="B6" s="3" t="s">
        <x:v>13</x:v>
      </x:c>
      <x:c r="C6" s="3" t="s">
        <x:v>14</x:v>
      </x:c>
      <x:c r="D6" s="3" t="s">
        <x:v>15</x:v>
      </x:c>
      <x:c r="E6" s="3" t="s">
        <x:v>16</x:v>
      </x:c>
      <x:c r="F6" s="3" t="s">
        <x:v>17</x:v>
      </x:c>
      <x:c r="G6" s="3" t="s">
        <x:v>18</x:v>
      </x:c>
    </x:row>
    <x:row r="7" ht="90" hidden="0" customHeight="1">
      <x:c r="A7" s="4" t="s">
        <x:v>19</x:v>
      </x:c>
      <x:c r="B7" s="4" t="s">
        <x:v>20</x:v>
      </x:c>
      <x:c r="C7" s="4" t="str">
        <x:v>First strict rep or less assistance across 4 x 2 clean muscle-ups</x:v>
      </x:c>
      <x:c r="D7" s="4" t="s">
        <x:v>21</x:v>
      </x:c>
      <x:c r="E7" s="4" t="s">
        <x:v>22</x:v>
      </x:c>
      <x:c r="F7" s="4" t="s">
        <x:v>23</x:v>
      </x:c>
      <x:c r="G7" s="7"/>
    </x:row>
    <x:row r="8" ht="90" hidden="0" customHeight="1">
      <x:c r="A8" s="8" t="s">
        <x:v>24</x:v>
      </x:c>
      <x:c r="B8" s="8" t="s">
        <x:v>25</x:v>
      </x:c>
      <x:c r="C8" s="8" t="str">
        <x:v>4 x 8 elevated pike reps toward HSPU; controlled handstand walking progression</x:v>
      </x:c>
      <x:c r="D8" s="8" t="str">
        <x:v>Handstand hold up to 30 sec and freestanding walk about 4 m reported; not yet consistent.</x:v>
      </x:c>
      <x:c r="E8" s="8" t="str">
        <x:v>Compare pressing range and assistance. Record controlled distance in metres.</x:v>
      </x:c>
      <x:c r="F8" s="8" t="s">
        <x:v>23</x:v>
      </x:c>
      <x:c r="G8" s="9"/>
    </x:row>
    <x:row r="9" ht="90" hidden="0" customHeight="1">
      <x:c r="A9" s="4" t="s">
        <x:v>26</x:v>
      </x:c>
      <x:c r="B9" s="4" t="s">
        <x:v>27</x:v>
      </x:c>
      <x:c r="C9" s="4" t="str">
        <x:v>4 x 5 controlled pistols per leg, reducing box/support</x:v>
      </x:c>
      <x:c r="D9" s="4" t="s">
        <x:v>28</x:v>
      </x:c>
      <x:c r="E9" s="4" t="s">
        <x:v>29</x:v>
      </x:c>
      <x:c r="F9" s="4" t="s">
        <x:v>23</x:v>
      </x:c>
      <x:c r="G9" s="7"/>
    </x:row>
    <x:row r="10" ht="90" hidden="0" customHeight="1">
      <x:c r="A10" s="8" t="s">
        <x:v>30</x:v>
      </x:c>
      <x:c r="B10" s="8" t="s">
        <x:v>31</x:v>
      </x:c>
      <x:c r="C10" s="8" t="s">
        <x:v>32</x:v>
      </x:c>
      <x:c r="D10" s="8" t="s">
        <x:v>33</x:v>
      </x:c>
      <x:c r="E10" s="8" t="s">
        <x:v>34</x:v>
      </x:c>
      <x:c r="F10" s="8" t="s">
        <x:v>35</x:v>
      </x:c>
      <x:c r="G10" s="9" t="s">
        <x:v>30</x:v>
      </x:c>
    </x:row>
    <x:row r="11" ht="90" hidden="0" customHeight="1">
      <x:c r="A11" s="4" t="s">
        <x:v>36</x:v>
      </x:c>
      <x:c r="B11" s="4" t="s">
        <x:v>37</x:v>
      </x:c>
      <x:c r="C11" s="4" t="s">
        <x:v>38</x:v>
      </x:c>
      <x:c r="D11" s="4" t="str">
        <x:v>Tue/Thu 20:00–21:00 (60 min); Sat 07:15–09:00 (105 min).</x:v>
      </x:c>
      <x:c r="E11" s="4" t="s">
        <x:v>39</x:v>
      </x:c>
      <x:c r="F11" s="4" t="s">
        <x:v>35</x:v>
      </x:c>
      <x:c r="G11" s="7" t="s">
        <x:v>36</x:v>
      </x:c>
    </x:row>
    <x:row r="12" ht="26" hidden="0" customHeight="1">
      <x:c r="A12" s="2" t="s">
        <x:v>40</x:v>
      </x:c>
      <x:c r="B12" s="2"/>
      <x:c r="C12" s="2"/>
      <x:c r="D12" s="2"/>
      <x:c r="E12" s="2"/>
    </x:row>
    <x:row r="13" ht="28" hidden="0" customHeight="1">
      <x:c r="A13" s="3" t="s">
        <x:v>41</x:v>
      </x:c>
      <x:c r="B13" s="3" t="s">
        <x:v>42</x:v>
      </x:c>
      <x:c r="C13" s="3" t="s">
        <x:v>13</x:v>
      </x:c>
      <x:c r="D13" s="3" t="s">
        <x:v>43</x:v>
      </x:c>
      <x:c r="E13" s="3" t="s">
        <x:v>44</x:v>
      </x:c>
    </x:row>
    <x:row r="14" ht="110" hidden="0" customHeight="1">
      <x:c r="A14" s="8" t="s">
        <x:v>45</x:v>
      </x:c>
      <x:c r="B14" s="8" t="n">
        <x:v>3</x:v>
      </x:c>
      <x:c r="C14" s="8" t="s">
        <x:v>46</x:v>
      </x:c>
      <x:c r="D14" s="8" t="str">
        <x:v>Monday: high pulls, 4 x 6 pull-ups, 4 x 12 parallel-bar dips, pistols and hamstrings. Use assistance to finish clean sets at 2 reps in reserve. Rest 2–3 min on strength; 90 sec on legs. After two clean sessions, reduce assistance. Pistols: 4 x 5/leg. Hamstring curls: 3 x 10.</x:v>
      </x:c>
      <x:c r="E14" s="8" t="s">
        <x:v>47</x:v>
      </x:c>
      <x:c r="F14" s="10"/>
      <x:c r="G14" s="10"/>
      <x:c r="H14" s="10"/>
      <x:c r="I14" s="10"/>
    </x:row>
    <x:row r="15" ht="110" hidden="0" customHeight="1">
      <x:c r="A15" s="4" t="s">
        <x:v>48</x:v>
      </x:c>
      <x:c r="B15" s="4" t="n">
        <x:v>3</x:v>
      </x:c>
      <x:c r="C15" s="4" t="s">
        <x:v>49</x:v>
      </x:c>
      <x:c r="D15" s="4" t="str">
        <x:v>Wednesday: freestanding walking first, then pressing, pulling and legs. Current best is about 4 m, inconsistent. Start with 3 x 3 m, one controlled walk per set; rest 60–90 sec. Use 1–2 m on inconsistent days and record actual distance. After all walks are controlled twice, add 0.5–1 m per set. Keep a clear path and a reliable side exit. Skill ends when control drops, not at failure.</x:v>
      </x:c>
      <x:c r="E15" s="4" t="s">
        <x:v>50</x:v>
      </x:c>
      <x:c r="F15" s="10"/>
      <x:c r="G15" s="10"/>
      <x:c r="H15" s="10"/>
      <x:c r="I15" s="10"/>
    </x:row>
    <x:row r="16" ht="110" hidden="0" customHeight="1">
      <x:c r="A16" s="8" t="s">
        <x:v>51</x:v>
      </x:c>
      <x:c r="B16" s="8" t="n">
        <x:v>3</x:v>
      </x:c>
      <x:c r="C16" s="8" t="str">
        <x:v>Muscle-up and movement</x:v>
      </x:c>
      <x:c r="D16" s="8" t="str">
        <x:v>Friday: muscle-up transitions, handstand walking, straight-bar dips and 4 x 8 elevated pike push-ups, then Cal-Intervals. For pressing: increase elevation/range after 4 x 8 twice at 2 reps in reserve. When ready, replace 2 pike sets with 2 x 2 controlled HSPU negatives; the wall may assist balance, not serve as a holding exercise. Use low-bar transitions until 4 x 2 assisted muscle-ups are smooth. Reduce assistance after two clean sessions. Tuesday is optional easy movement practice.</x:v>
      </x:c>
      <x:c r="E16" s="8" t="s">
        <x:v>52</x:v>
      </x:c>
      <x:c r="F16" s="10"/>
      <x:c r="G16" s="10"/>
      <x:c r="H16" s="10"/>
      <x:c r="I16" s="10"/>
    </x:row>
    <x:row r="17" ht="110" hidden="0" customHeight="1">
      <x:c r="A17" s="4" t="s">
        <x:v>53</x:v>
      </x:c>
      <x:c r="B17" s="4" t="n">
        <x:v>3</x:v>
      </x:c>
      <x:c r="C17" s="4" t="str">
        <x:v>Cal-Intervals</x:v>
      </x:c>
      <x:c r="D17" s="4" t="str">
        <x:v>Friday Cal-Intervals: 5 rounds, each station 30 sec work + 20 sec rest. Pull-ups, Mike Tyson push-ups, squats, upside-down hanging shoulder/ab work. Scale pull-ups and hanging work to keep control. Weeks 4 and 8: 3 easy rounds; week 12: 2. Keep swims Tue/Thu 20:00–21:00, Sat 07:15–09:00, and existing running. Handstand steps are technique practice, not sets to failure.</x:v>
      </x:c>
      <x:c r="E17" s="4" t="s">
        <x:v>54</x:v>
      </x:c>
      <x:c r="F17" s="10"/>
      <x:c r="G17" s="10"/>
      <x:c r="H17" s="10"/>
      <x:c r="I17" s="10"/>
    </x:row>
    <x:row r="18" ht="18" hidden="0" customHeight="1"/>
    <x:row r="19" ht="26" hidden="0" customHeight="1">
      <x:c r="A19" s="2" t="s">
        <x:v>55</x:v>
      </x:c>
      <x:c r="B19" s="2"/>
      <x:c r="C19" s="2"/>
      <x:c r="D19" s="2"/>
      <x:c r="E19" s="2"/>
      <x:c r="F19" s="2"/>
      <x:c r="G19" s="2"/>
      <x:c r="H19" s="11"/>
      <x:c r="I19" s="11"/>
    </x:row>
    <x:row r="20" ht="28" hidden="0" customHeight="1">
      <x:c r="A20" s="3" t="s">
        <x:v>56</x:v>
      </x:c>
      <x:c r="B20" s="3" t="s">
        <x:v>57</x:v>
      </x:c>
      <x:c r="C20" s="3" t="s">
        <x:v>58</x:v>
      </x:c>
      <x:c r="D20" s="3" t="s">
        <x:v>59</x:v>
      </x:c>
      <x:c r="E20" s="3" t="s">
        <x:v>60</x:v>
      </x:c>
      <x:c r="F20" s="3" t="s">
        <x:v>61</x:v>
      </x:c>
      <x:c r="G20" s="3" t="s">
        <x:v>62</x:v>
      </x:c>
      <x:c r="H20" s="3" t="s">
        <x:v>45</x:v>
      </x:c>
      <x:c r="I20" s="3" t="s">
        <x:v>48</x:v>
      </x:c>
    </x:row>
    <x:row r="21" ht="130" hidden="0" customHeight="1">
      <x:c r="A21" s="4" t="n">
        <x:v>1</x:v>
      </x:c>
      <x:c r="B21" s="5" t="n">
        <x:f aca="0">$E$3+7*(A21-1)</x:f>
        <x:v>46328.5</x:v>
      </x:c>
      <x:c r="C21" s="4" t="s">
        <x:v>63</x:v>
      </x:c>
      <x:c r="D21" s="4" t="str">
        <x:v>Intermediate strength targets plus Friday Cal-Intervals.</x:v>
      </x:c>
      <x:c r="E21" s="4" t="str">
        <x:v>Pull-ups 4 x 6; elevated pike 4 x 8; dips 4 x 12. Hand steps: control before distance.</x:v>
      </x:c>
      <x:c r="F21" s="4" t="str">
        <x:v>Strength: complete targets twice with 1–2 reps in reserve, then reduce assistance. Hand steps: all clean before adding steps/difficulty. </x:v>
      </x:c>
      <x:c r="G21" s="4" t="n">
        <x:f aca="0">SUM(Daily!E3,Daily!E5,Daily!E6)</x:f>
        <x:v>245</x:v>
      </x:c>
      <x:c r="H21" s="4" t="str">
        <x:v>A) High pull: 4 x 3
B) Pull-up: 4 x 6
C) Parallel-bar dip: 4 x 12
D) Box pistol: 4 x 5/leg
E) Sliding hamstring curl: 3 x 10</x:v>
      </x:c>
      <x:c r="I21" s="4" t="str">
        <x:v>A) Handstand walk: 3 x 3 m
B) Elevated pike push-up: 4 x 8
C) Pull-up: 4 x 6
D) Box pistol: 4 x 5/leg
E) Bar row: 4 x 12</x:v>
      </x:c>
    </x:row>
    <x:row r="22" ht="130" hidden="0" customHeight="1">
      <x:c r="A22" s="8" t="n">
        <x:v>2</x:v>
      </x:c>
      <x:c r="B22" s="12" t="n">
        <x:f aca="0">$E$3+7*(A22-1)</x:f>
        <x:v>46335.5</x:v>
      </x:c>
      <x:c r="C22" s="8" t="s">
        <x:v>63</x:v>
      </x:c>
      <x:c r="D22" s="8" t="str">
        <x:v>Intermediate strength targets plus Friday Cal-Intervals.</x:v>
      </x:c>
      <x:c r="E22" s="8" t="str">
        <x:v>Pull-ups 4 x 6; elevated pike 4 x 8; dips 4 x 12. Hand steps: control before distance.</x:v>
      </x:c>
      <x:c r="F22" s="8" t="str">
        <x:v>Strength: complete targets twice with 1–2 reps in reserve, then reduce assistance. Hand steps: all clean before adding steps/difficulty. </x:v>
      </x:c>
      <x:c r="G22" s="8" t="n">
        <x:f aca="0">SUM(Daily!E7,Daily!E9,Daily!E10)</x:f>
        <x:v>245</x:v>
      </x:c>
      <x:c r="H22" s="8" t="str">
        <x:v>A) High pull: 4 x 3
B) Pull-up: 4 x 6
C) Parallel-bar dip: 4 x 12
D) Box pistol: 4 x 5/leg
E) Sliding hamstring curl: 3 x 10</x:v>
      </x:c>
      <x:c r="I22" s="8" t="str">
        <x:v>A) Handstand walk: 3 x 3 m
B) Elevated pike push-up: 4 x 8
C) Pull-up: 4 x 6
D) Box pistol: 4 x 5/leg
E) Bar row: 4 x 12</x:v>
      </x:c>
    </x:row>
    <x:row r="23" ht="130" hidden="0" customHeight="1">
      <x:c r="A23" s="4" t="n">
        <x:v>3</x:v>
      </x:c>
      <x:c r="B23" s="5" t="n">
        <x:f aca="0">$E$3+7*(A23-1)</x:f>
        <x:v>46342.5</x:v>
      </x:c>
      <x:c r="C23" s="4" t="s">
        <x:v>63</x:v>
      </x:c>
      <x:c r="D23" s="4" t="str">
        <x:v>Intermediate strength targets plus Friday Cal-Intervals.</x:v>
      </x:c>
      <x:c r="E23" s="4" t="str">
        <x:v>Pull-ups 4 x 6; elevated pike 4 x 8; dips 4 x 12. Hand steps: control before distance.</x:v>
      </x:c>
      <x:c r="F23" s="4" t="str">
        <x:v>Strength: complete targets twice with 1–2 reps in reserve, then reduce assistance. Hand steps: all clean before adding steps/difficulty. </x:v>
      </x:c>
      <x:c r="G23" s="4" t="n">
        <x:f aca="0">SUM(Daily!E11,Daily!E13,Daily!E14)</x:f>
        <x:v>245</x:v>
      </x:c>
      <x:c r="H23" s="4" t="str">
        <x:v>A) High pull: 4 x 3
B) Pull-up: 4 x 6
C) Parallel-bar dip: 4 x 12
D) Box pistol: 4 x 5/leg
E) Sliding hamstring curl: 3 x 10</x:v>
      </x:c>
      <x:c r="I23" s="4" t="str">
        <x:v>A) Handstand walk: 3 x 3 m
B) Elevated pike push-up: 4 x 8
C) Pull-up: 4 x 6
D) Box pistol: 4 x 5/leg
E) Bar row: 4 x 12</x:v>
      </x:c>
    </x:row>
    <x:row r="24" ht="130" hidden="0" customHeight="1">
      <x:c r="A24" s="8" t="n">
        <x:v>4</x:v>
      </x:c>
      <x:c r="B24" s="12" t="n">
        <x:f aca="0">$E$3+7*(A24-1)</x:f>
        <x:v>46349.5</x:v>
      </x:c>
      <x:c r="C24" s="8" t="s">
        <x:v>64</x:v>
      </x:c>
      <x:c r="D24" s="8" t="str">
        <x:v>Half strength sets; 3 easy circuit rounds.</x:v>
      </x:c>
      <x:c r="E24" s="8" t="str">
        <x:v>Keep the same movement level; half strength sets.</x:v>
      </x:c>
      <x:c r="F24" s="8" t="str">
        <x:v>Strength: complete targets twice with 1–2 reps in reserve, then reduce assistance. Hand steps: all clean before adding steps/difficulty. </x:v>
      </x:c>
      <x:c r="G24" s="8" t="n">
        <x:f aca="0">SUM(Daily!E15,Daily!E17,Daily!E18)</x:f>
        <x:v>140</x:v>
      </x:c>
      <x:c r="H24" s="8" t="str">
        <x:v>A) High pull: 2 x 3
B) Pull-up: 2 x 6
C) Parallel-bar dip: 2 x 12
D) Box pistol: 2 x 5/leg
E) Sliding hamstring curl: 2 x 10</x:v>
      </x:c>
      <x:c r="I24" s="8" t="str">
        <x:v>A) Handstand walk: 2 x 3 m
B) Elevated pike push-up: 2 x 8
C) Pull-up: 2 x 6
D) Box pistol: 2 x 5/leg
E) Bar row: 2 x 12</x:v>
      </x:c>
    </x:row>
    <x:row r="25" ht="130" hidden="0" customHeight="1">
      <x:c r="A25" s="4" t="n">
        <x:v>5</x:v>
      </x:c>
      <x:c r="B25" s="5" t="n">
        <x:f aca="0">$E$3+7*(A25-1)</x:f>
        <x:v>46356.5</x:v>
      </x:c>
      <x:c r="C25" s="4" t="s">
        <x:v>65</x:v>
      </x:c>
      <x:c r="D25" s="4" t="str">
        <x:v>Intermediate strength targets plus Friday Cal-Intervals.</x:v>
      </x:c>
      <x:c r="E25" s="4" t="str">
        <x:v>Pull-ups 4 x 6; elevated pike 4 x 8; dips 4 x 12. Hand steps: control before distance.</x:v>
      </x:c>
      <x:c r="F25" s="4" t="str">
        <x:v>Strength: complete targets twice with 1–2 reps in reserve, then reduce assistance. Hand steps: all clean before adding steps/difficulty. </x:v>
      </x:c>
      <x:c r="G25" s="4" t="n">
        <x:f aca="0">SUM(Daily!E19,Daily!E21,Daily!E22)</x:f>
        <x:v>245</x:v>
      </x:c>
      <x:c r="H25" s="4" t="str">
        <x:v>A) High pull: 4 x 3
B) Pull-up: 4 x 6
C) Parallel-bar dip: 4 x 12
D) Box pistol: 4 x 5/leg
E) Sliding hamstring curl: 3 x 10</x:v>
      </x:c>
      <x:c r="I25" s="4" t="str">
        <x:v>A) Handstand walk: 3 x 3 m
B) Elevated pike push-up: 4 x 8
C) Pull-up: 4 x 6
D) Box pistol: 4 x 5/leg
E) Bar row: 4 x 12</x:v>
      </x:c>
    </x:row>
    <x:row r="26" ht="130" hidden="0" customHeight="1">
      <x:c r="A26" s="8" t="n">
        <x:v>6</x:v>
      </x:c>
      <x:c r="B26" s="12" t="n">
        <x:f aca="0">$E$3+7*(A26-1)</x:f>
        <x:v>46363.5</x:v>
      </x:c>
      <x:c r="C26" s="8" t="s">
        <x:v>65</x:v>
      </x:c>
      <x:c r="D26" s="8" t="str">
        <x:v>Intermediate strength targets plus Friday Cal-Intervals.</x:v>
      </x:c>
      <x:c r="E26" s="8" t="str">
        <x:v>Pull-ups 4 x 6; elevated pike 4 x 8; dips 4 x 12. Hand steps: control before distance.</x:v>
      </x:c>
      <x:c r="F26" s="8" t="str">
        <x:v>Strength: complete targets twice with 1–2 reps in reserve, then reduce assistance. Hand steps: all clean before adding steps/difficulty. </x:v>
      </x:c>
      <x:c r="G26" s="8" t="n">
        <x:f aca="0">SUM(Daily!E23,Daily!E25,Daily!E26)</x:f>
        <x:v>245</x:v>
      </x:c>
      <x:c r="H26" s="8" t="str">
        <x:v>A) High pull: 4 x 3
B) Pull-up: 4 x 6
C) Parallel-bar dip: 4 x 12
D) Box pistol: 4 x 5/leg
E) Sliding hamstring curl: 3 x 10</x:v>
      </x:c>
      <x:c r="I26" s="8" t="str">
        <x:v>A) Handstand walk: 3 x 3 m
B) Elevated pike push-up: 4 x 8
C) Pull-up: 4 x 6
D) Box pistol: 4 x 5/leg
E) Bar row: 4 x 12</x:v>
      </x:c>
    </x:row>
    <x:row r="27" ht="130" hidden="0" customHeight="1">
      <x:c r="A27" s="4" t="n">
        <x:v>7</x:v>
      </x:c>
      <x:c r="B27" s="5" t="n">
        <x:f aca="0">$E$3+7*(A27-1)</x:f>
        <x:v>46370.5</x:v>
      </x:c>
      <x:c r="C27" s="4" t="s">
        <x:v>65</x:v>
      </x:c>
      <x:c r="D27" s="4" t="str">
        <x:v>Intermediate strength targets plus Friday Cal-Intervals.</x:v>
      </x:c>
      <x:c r="E27" s="4" t="str">
        <x:v>Pull-ups 4 x 6; elevated pike 4 x 8; dips 4 x 12. Hand steps: control before distance.</x:v>
      </x:c>
      <x:c r="F27" s="4" t="str">
        <x:v>Strength: complete targets twice with 1–2 reps in reserve, then reduce assistance. Hand steps: all clean before adding steps/difficulty. </x:v>
      </x:c>
      <x:c r="G27" s="4" t="n">
        <x:f aca="0">SUM(Daily!E27,Daily!E29,Daily!E30)</x:f>
        <x:v>245</x:v>
      </x:c>
      <x:c r="H27" s="4" t="str">
        <x:v>A) High pull: 4 x 3
B) Pull-up: 4 x 6
C) Parallel-bar dip: 4 x 12
D) Box pistol: 4 x 5/leg
E) Sliding hamstring curl: 3 x 10</x:v>
      </x:c>
      <x:c r="I27" s="4" t="str">
        <x:v>A) Handstand walk: 3 x 3 m
B) Elevated pike push-up: 4 x 8
C) Pull-up: 4 x 6
D) Box pistol: 4 x 5/leg
E) Bar row: 4 x 12</x:v>
      </x:c>
    </x:row>
    <x:row r="28" ht="130" hidden="0" customHeight="1">
      <x:c r="A28" s="8" t="n">
        <x:v>8</x:v>
      </x:c>
      <x:c r="B28" s="12" t="n">
        <x:f aca="0">$E$3+7*(A28-1)</x:f>
        <x:v>46377.5</x:v>
      </x:c>
      <x:c r="C28" s="8" t="s">
        <x:v>64</x:v>
      </x:c>
      <x:c r="D28" s="8" t="str">
        <x:v>Half strength sets; 3 easy circuit rounds.</x:v>
      </x:c>
      <x:c r="E28" s="8" t="str">
        <x:v>Keep the same movement level; half strength sets.</x:v>
      </x:c>
      <x:c r="F28" s="8" t="str">
        <x:v>Strength: complete targets twice with 1–2 reps in reserve, then reduce assistance. Hand steps: all clean before adding steps/difficulty. </x:v>
      </x:c>
      <x:c r="G28" s="8" t="n">
        <x:f aca="0">SUM(Daily!E31,Daily!E33,Daily!E34)</x:f>
        <x:v>140</x:v>
      </x:c>
      <x:c r="H28" s="8" t="str">
        <x:v>A) High pull: 2 x 3
B) Pull-up: 2 x 6
C) Parallel-bar dip: 2 x 12
D) Box pistol: 2 x 5/leg
E) Sliding hamstring curl: 2 x 10</x:v>
      </x:c>
      <x:c r="I28" s="8" t="str">
        <x:v>A) Handstand walk: 2 x 3 m
B) Elevated pike push-up: 2 x 8
C) Pull-up: 2 x 6
D) Box pistol: 2 x 5/leg
E) Bar row: 2 x 12</x:v>
      </x:c>
    </x:row>
    <x:row r="29" ht="130" hidden="0" customHeight="1">
      <x:c r="A29" s="4" t="n">
        <x:v>9</x:v>
      </x:c>
      <x:c r="B29" s="5" t="n">
        <x:f aca="0">$E$3+7*(A29-1)</x:f>
        <x:v>46384.5</x:v>
      </x:c>
      <x:c r="C29" s="4" t="s">
        <x:v>66</x:v>
      </x:c>
      <x:c r="D29" s="4" t="str">
        <x:v>Intermediate strength targets plus Friday Cal-Intervals.</x:v>
      </x:c>
      <x:c r="E29" s="4" t="str">
        <x:v>Pull-ups 4 x 6; elevated pike 4 x 8; dips 4 x 12. Hand steps: control before distance.</x:v>
      </x:c>
      <x:c r="F29" s="4" t="str">
        <x:v>Strength: complete targets twice with 1–2 reps in reserve, then reduce assistance. Hand steps: all clean before adding steps/difficulty. </x:v>
      </x:c>
      <x:c r="G29" s="4" t="n">
        <x:f aca="0">SUM(Daily!E35,Daily!E37,Daily!E38)</x:f>
        <x:v>245</x:v>
      </x:c>
      <x:c r="H29" s="4" t="str">
        <x:v>A) High pull: 4 x 3
B) Pull-up: 4 x 6
C) Parallel-bar dip: 4 x 12
D) Box pistol: 4 x 5/leg
E) Sliding hamstring curl: 3 x 10</x:v>
      </x:c>
      <x:c r="I29" s="4" t="str">
        <x:v>A) Handstand walk: 3 x 3 m
B) Elevated pike push-up: 4 x 8
C) Pull-up: 4 x 6
D) Box pistol: 4 x 5/leg
E) Bar row: 4 x 12</x:v>
      </x:c>
    </x:row>
    <x:row r="30" ht="130" hidden="0" customHeight="1">
      <x:c r="A30" s="8" t="n">
        <x:v>10</x:v>
      </x:c>
      <x:c r="B30" s="12" t="n">
        <x:f aca="0">$E$3+7*(A30-1)</x:f>
        <x:v>46391.5</x:v>
      </x:c>
      <x:c r="C30" s="8" t="s">
        <x:v>66</x:v>
      </x:c>
      <x:c r="D30" s="8" t="str">
        <x:v>Intermediate strength targets plus Friday Cal-Intervals.</x:v>
      </x:c>
      <x:c r="E30" s="8" t="str">
        <x:v>Pull-ups 4 x 6; elevated pike 4 x 8; dips 4 x 12. Hand steps: control before distance.</x:v>
      </x:c>
      <x:c r="F30" s="8" t="str">
        <x:v>Strength: complete targets twice with 1–2 reps in reserve, then reduce assistance. Hand steps: all clean before adding steps/difficulty. </x:v>
      </x:c>
      <x:c r="G30" s="8" t="n">
        <x:f aca="0">SUM(Daily!E39,Daily!E41,Daily!E42)</x:f>
        <x:v>245</x:v>
      </x:c>
      <x:c r="H30" s="8" t="str">
        <x:v>A) High pull: 4 x 3
B) Pull-up: 4 x 6
C) Parallel-bar dip: 4 x 12
D) Box pistol: 4 x 5/leg
E) Sliding hamstring curl: 3 x 10</x:v>
      </x:c>
      <x:c r="I30" s="8" t="str">
        <x:v>A) Handstand walk: 3 x 3 m
B) Elevated pike push-up: 4 x 8
C) Pull-up: 4 x 6
D) Box pistol: 4 x 5/leg
E) Bar row: 4 x 12</x:v>
      </x:c>
    </x:row>
    <x:row r="31" ht="130" hidden="0" customHeight="1">
      <x:c r="A31" s="4" t="n">
        <x:v>11</x:v>
      </x:c>
      <x:c r="B31" s="5" t="n">
        <x:f aca="0">$E$3+7*(A31-1)</x:f>
        <x:v>46398.5</x:v>
      </x:c>
      <x:c r="C31" s="4" t="s">
        <x:v>66</x:v>
      </x:c>
      <x:c r="D31" s="4" t="str">
        <x:v>Intermediate strength targets plus Friday Cal-Intervals.</x:v>
      </x:c>
      <x:c r="E31" s="4" t="str">
        <x:v>Pull-ups 4 x 6; elevated pike 4 x 8; dips 4 x 12. Hand steps: control before distance.</x:v>
      </x:c>
      <x:c r="F31" s="4" t="str">
        <x:v>Strength: complete targets twice with 1–2 reps in reserve, then reduce assistance. Hand steps: all clean before adding steps/difficulty. </x:v>
      </x:c>
      <x:c r="G31" s="4" t="n">
        <x:f aca="0">SUM(Daily!E43,Daily!E45,Daily!E46)</x:f>
        <x:v>245</x:v>
      </x:c>
      <x:c r="H31" s="4" t="str">
        <x:v>A) High pull: 4 x 3
B) Pull-up: 4 x 6
C) Parallel-bar dip: 4 x 12
D) Box pistol: 4 x 5/leg
E) Sliding hamstring curl: 3 x 10</x:v>
      </x:c>
      <x:c r="I31" s="4" t="str">
        <x:v>A) Handstand walk: 3 x 3 m
B) Elevated pike push-up: 4 x 8
C) Pull-up: 4 x 6
D) Box pistol: 4 x 5/leg
E) Bar row: 4 x 12</x:v>
      </x:c>
    </x:row>
    <x:row r="32" ht="130" hidden="0" customHeight="1">
      <x:c r="A32" s="8" t="n">
        <x:v>12</x:v>
      </x:c>
      <x:c r="B32" s="12" t="n">
        <x:f aca="0">$E$3+7*(A32-1)</x:f>
        <x:v>46405.5</x:v>
      </x:c>
      <x:c r="C32" s="8" t="s">
        <x:v>67</x:v>
      </x:c>
      <x:c r="D32" s="8" t="str">
        <x:v>Test current progressions; reduced strength work.</x:v>
      </x:c>
      <x:c r="E32" s="8" t="str">
        <x:v>Compare controlled steps, assistance and pressing depth.</x:v>
      </x:c>
      <x:c r="F32" s="8" t="str">
        <x:v>Strength: complete targets twice with 1–2 reps in reserve, then reduce assistance. Hand steps: all clean before adding steps/difficulty. </x:v>
      </x:c>
      <x:c r="G32" s="8" t="n">
        <x:f aca="0">SUM(Daily!E47,Daily!E49,Daily!E50)</x:f>
        <x:v>125</x:v>
      </x:c>
      <x:c r="H32" s="8" t="str">
        <x:v>A) Muscle-up test: 3 x 1
B) Pull-up: 2 x 6
C) Parallel-bar dip: 2 x 12
D) Pistol test: 1 x 5/leg
E) Sliding hamstring curl: 1 x 10</x:v>
      </x:c>
      <x:c r="I32" s="8" t="str">
        <x:v>A) Handstand walk test: 3 x 4 m
B) Wall HSPU test: 1 x 3
C) Pull-up: 1 x 6
D) Box pistol: 1 x 5/leg
E) Bar row: 1 x 12</x:v>
      </x:c>
    </x:row>
    <x:row r="33" ht="18" hidden="0" customHeight="1"/>
    <x:row r="34" ht="26" hidden="0" customHeight="1">
      <x:c r="A34" s="13" t="s">
        <x:v>68</x:v>
      </x:c>
      <x:c r="B34" s="13"/>
    </x:row>
    <x:row r="35" ht="26" hidden="0" customHeight="1">
      <x:c r="A35" s="14" t="s">
        <x:v>69</x:v>
      </x:c>
      <x:c r="B35" s="14" t="s">
        <x:v>70</x:v>
      </x:c>
    </x:row>
    <x:row r="36" ht="38" hidden="0" customHeight="1">
      <x:c r="A36" s="15" t="s">
        <x:v>71</x:v>
      </x:c>
      <x:c r="B36" s="16" t="n">
        <x:f aca="0">COUNTA(Daily!A3:A50)</x:f>
        <x:v>48</x:v>
      </x:c>
    </x:row>
    <x:row r="37" ht="38" hidden="0" customHeight="1">
      <x:c r="A37" s="15" t="s">
        <x:v>72</x:v>
      </x:c>
      <x:c r="B37" s="16" t="n">
        <x:f aca="0">COUNTIF(Daily!G3:G50,TRUE())</x:f>
        <x:v>0</x:v>
      </x:c>
    </x:row>
    <x:row r="38" ht="38" hidden="0" customHeight="1">
      <x:c r="A38" s="15" t="s">
        <x:v>73</x:v>
      </x:c>
      <x:c r="B38" s="16" t="str">
        <x:f aca="0">IF(COUNT(Daily!F3:F50)=0,"",SUM(Daily!F3:F50))</x:f>
      </x:c>
    </x:row>
    <x:row r="39" ht="38" hidden="0" customHeight="1">
      <x:c r="A39" s="15" t="s">
        <x:v>74</x:v>
      </x:c>
      <x:c r="B39" s="16" t="str">
        <x:f aca="0">IF(COUNT(Scoring!Q3:Q218)=0,"",MEDIAN(Scoring!Q3:Q218))</x:f>
      </x:c>
    </x:row>
    <x:row r="40" ht="26" hidden="0" customHeight="1"/>
    <x:row r="41" ht="26" hidden="0" customHeight="1"/>
    <x:row r="42" ht="26" hidden="0" customHeight="1">
      <x:c r="A42" s="13" t="s">
        <x:v>75</x:v>
      </x:c>
      <x:c r="B42" s="13"/>
      <x:c r="C42" s="13"/>
      <x:c r="D42" s="13"/>
    </x:row>
    <x:row r="43" ht="26" hidden="0" customHeight="1">
      <x:c r="A43" s="14" t="s">
        <x:v>76</x:v>
      </x:c>
      <x:c r="B43" s="14" t="s">
        <x:v>77</x:v>
      </x:c>
      <x:c r="C43" s="14"/>
      <x:c r="D43" s="14"/>
    </x:row>
    <x:row r="44" ht="42" hidden="0" customHeight="1">
      <x:c r="A44" s="15" t="s">
        <x:v>78</x:v>
      </x:c>
      <x:c r="B44" s="17"/>
      <x:c r="C44" s="17"/>
      <x:c r="D44" s="17"/>
    </x:row>
    <x:row r="45" ht="42" hidden="0" customHeight="1">
      <x:c r="A45" s="15" t="s">
        <x:v>79</x:v>
      </x:c>
      <x:c r="B45" s="17"/>
      <x:c r="C45" s="17"/>
      <x:c r="D45" s="17"/>
    </x:row>
    <x:row r="46" ht="42" hidden="0" customHeight="1">
      <x:c r="A46" s="15" t="s">
        <x:v>80</x:v>
      </x:c>
      <x:c r="B46" s="17"/>
      <x:c r="C46" s="17"/>
      <x:c r="D46" s="17"/>
    </x:row>
    <x:row r="47" ht="42" hidden="0" customHeight="1">
      <x:c r="A47" s="15" t="s">
        <x:v>81</x:v>
      </x:c>
      <x:c r="B47" s="17"/>
      <x:c r="C47" s="17"/>
      <x:c r="D47" s="17"/>
    </x:row>
    <x:row r="48" ht="42" hidden="0" customHeight="1">
      <x:c r="A48" s="15" t="s">
        <x:v>82</x:v>
      </x:c>
      <x:c r="B48" s="17"/>
      <x:c r="C48" s="17"/>
      <x:c r="D48" s="17"/>
    </x:row>
    <x:row r="49" ht="42" hidden="0" customHeight="1">
      <x:c r="A49" s="15" t="s">
        <x:v>83</x:v>
      </x:c>
      <x:c r="B49" s="17"/>
      <x:c r="C49" s="17"/>
      <x:c r="D49" s="17"/>
    </x:row>
    <x:row r="50" ht="26" hidden="0" customHeight="1"/>
    <x:row r="51" ht="26" hidden="0" customHeight="1"/>
    <x:row r="52" ht="26" hidden="0" customHeight="1"/>
    <x:row r="53" ht="26" hidden="0" customHeight="1"/>
    <x:row r="54" ht="26" hidden="0" customHeight="1"/>
    <x:row r="55" ht="26" hidden="0" customHeight="1"/>
    <x:row r="56" ht="26" hidden="0" customHeight="1"/>
    <x:row r="57" ht="26" hidden="0" customHeight="1"/>
    <x:row r="58" ht="26" hidden="0" customHeight="1"/>
    <x:row r="59" ht="26" hidden="0" customHeight="1"/>
    <x:row r="60" ht="26" hidden="0" customHeight="1"/>
    <x:row r="61" ht="26" hidden="0" customHeight="1"/>
    <x:row r="62" ht="26" hidden="0" customHeight="1"/>
    <x:row r="63" ht="26" hidden="0" customHeight="1"/>
    <x:row r="64" ht="26" hidden="0" customHeight="1"/>
    <x:row r="65" ht="26" hidden="0" customHeight="1"/>
    <x:row r="66" ht="26" hidden="0" customHeight="1"/>
    <x:row r="67" ht="26" hidden="0" customHeight="1"/>
    <x:row r="68" ht="26" hidden="0" customHeight="1"/>
    <x:row r="69" ht="26" hidden="0" customHeight="1"/>
    <x:row r="70" ht="26" hidden="0" customHeight="1"/>
    <x:row r="71" ht="26" hidden="0" customHeight="1"/>
    <x:row r="72" ht="26" hidden="0" customHeight="1"/>
    <x:row r="73" ht="26" hidden="0" customHeight="1"/>
    <x:row r="74" ht="26" hidden="0" customHeight="1"/>
    <x:row r="75" ht="26" hidden="0" customHeight="1"/>
    <x:row r="76" ht="26" hidden="0" customHeight="1"/>
    <x:row r="77" ht="26" hidden="0" customHeight="1"/>
    <x:row r="78" ht="26" hidden="0" customHeight="1"/>
    <x:row r="79" ht="26" hidden="0" customHeight="1"/>
    <x:row r="80" ht="26" hidden="0" customHeight="1"/>
    <x:row r="81" ht="26" hidden="0" customHeight="1"/>
    <x:row r="82" ht="26" hidden="0" customHeight="1"/>
    <x:row r="83" ht="26" hidden="0" customHeight="1"/>
    <x:row r="84" ht="26" hidden="0" customHeight="1"/>
    <x:row r="85" ht="26" hidden="0" customHeight="1"/>
    <x:row r="86" ht="26" hidden="0" customHeight="1"/>
    <x:row r="87" ht="26" hidden="0" customHeight="1"/>
    <x:row r="88" ht="26" hidden="0" customHeight="1"/>
    <x:row r="89" ht="26" hidden="0" customHeight="1"/>
    <x:row r="90" ht="26" hidden="0" customHeight="1"/>
    <x:row r="91" ht="82" hidden="0" customHeight="1"/>
    <x:row r="92" ht="82" hidden="0" customHeight="1"/>
    <x:row r="93" ht="82" hidden="0" customHeight="1"/>
    <x:row r="94" ht="82" hidden="0" customHeight="1"/>
    <x:row r="95" ht="82" hidden="0" customHeight="1"/>
    <x:row r="96" ht="82" hidden="0" customHeight="1"/>
    <x:row r="97" ht="82" hidden="0" customHeight="1"/>
    <x:row r="98" ht="82" hidden="0" customHeight="1"/>
    <x:row r="99" ht="82" hidden="0" customHeight="1"/>
    <x:row r="100" ht="82" hidden="0" customHeight="1"/>
    <x:row r="101" ht="82" hidden="0" customHeight="1"/>
    <x:row r="102" ht="82" hidden="0" customHeight="1"/>
    <x:row r="103" ht="82" hidden="0" customHeight="1"/>
    <x:row r="1048574" ht="12.800000190734863" hidden="0"/>
    <x:row r="1048575" ht="12.800000190734863" hidden="0"/>
    <x:row r="1048576" ht="12.800000190734863" hidden="0"/>
  </x:sheetData>
  <x:mergeCells>
    <x:mergeCell ref="A34:B34"/>
    <x:mergeCell ref="A42:D42"/>
    <x:mergeCell ref="B44:D44"/>
    <x:mergeCell ref="B45:D45"/>
    <x:mergeCell ref="B46:D46"/>
    <x:mergeCell ref="B47:D47"/>
    <x:mergeCell ref="B48:D48"/>
    <x:mergeCell ref="B49:D49"/>
  </x:mergeCells>
  <x:dataValidations count="2">
    <x:dataValidation type="list" errorStyle="stop" operator="between" allowBlank="0" showDropDown="0" showInputMessage="0" showErrorMessage="0" sqref="F7:F10">
      <x:formula1>"milestone,maintenance"</x:formula1>
      <x:formula2>0</x:formula2>
    </x:dataValidation>
    <x:dataValidation type="list" errorStyle="stop" operator="between" allowBlank="0" showDropDown="0" showInputMessage="0" showErrorMessage="0" sqref="F11">
      <x:formula1>"milestone,maintenance"</x:formula1>
      <x:formula2>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3465E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3" width="16" style="1" hidden="0" customWidth="1"/>
    <x:col min="4" max="4" width="12" style="1" hidden="0" customWidth="1"/>
    <x:col min="5" max="6" width="22" style="1" hidden="0" customWidth="1"/>
    <x:col min="7" max="7" width="44" hidden="0" customWidth="1"/>
  </x:cols>
  <x:sheetData>
    <x:row r="1" ht="26" hidden="0" customHeight="1">
      <x:c r="A1" s="2" t="s">
        <x:v>84</x:v>
      </x:c>
      <x:c r="B1" s="2"/>
      <x:c r="C1" s="2"/>
      <x:c r="D1" s="2"/>
      <x:c r="E1" s="2"/>
      <x:c r="F1" s="2"/>
      <x:c r="G1" s="11"/>
    </x:row>
    <x:row r="2" ht="28" hidden="0" customHeight="1">
      <x:c r="A2" s="3" t="s">
        <x:v>85</x:v>
      </x:c>
      <x:c r="B2" s="3" t="s">
        <x:v>86</x:v>
      </x:c>
      <x:c r="C2" s="3" t="s">
        <x:v>87</x:v>
      </x:c>
      <x:c r="D2" s="3" t="s">
        <x:v>62</x:v>
      </x:c>
      <x:c r="E2" s="3" t="s">
        <x:v>88</x:v>
      </x:c>
      <x:c r="F2" s="3" t="s">
        <x:v>89</x:v>
      </x:c>
      <x:c r="G2" s="3" t="s">
        <x:v>90</x:v>
      </x:c>
    </x:row>
    <x:row r="3" ht="26" hidden="0" customHeight="1">
      <x:c r="A3" s="4" t="s">
        <x:v>91</x:v>
      </x:c>
      <x:c r="B3" s="18"/>
      <x:c r="C3" s="18"/>
      <x:c r="D3" s="19" t="str">
        <x:f aca="0">IF(OR(B3="",C3=""),"",ROUND(MOD(C3-B3,1)*1440,6))</x:f>
      </x:c>
      <x:c r="E3" s="20"/>
      <x:c r="F3" s="20"/>
      <x:c r="G3" s="20"/>
    </x:row>
    <x:row r="4" ht="26" hidden="0" customHeight="1">
      <x:c r="A4" s="8" t="s">
        <x:v>91</x:v>
      </x:c>
      <x:c r="B4" s="21"/>
      <x:c r="C4" s="21"/>
      <x:c r="D4" s="22" t="str">
        <x:f aca="0">IF(OR(B4="",C4=""),"",ROUND(MOD(C4-B4,1)*1440,6))</x:f>
      </x:c>
      <x:c r="E4" s="23"/>
      <x:c r="F4" s="23"/>
      <x:c r="G4" s="23"/>
    </x:row>
    <x:row r="5" ht="28" hidden="0" customHeight="1">
      <x:c r="A5" s="4" t="s">
        <x:v>92</x:v>
      </x:c>
      <x:c r="B5" s="18" t="n">
        <x:v>0.833333333333333</x:v>
      </x:c>
      <x:c r="C5" s="18" t="n">
        <x:v>0.875</x:v>
      </x:c>
      <x:c r="D5" s="19" t="n">
        <x:f aca="0">IF(OR(B5="",C5=""),"",ROUND(MOD(C5-B5,1)*1440,6))</x:f>
        <x:v>60</x:v>
      </x:c>
      <x:c r="E5" s="20" t="s">
        <x:v>37</x:v>
      </x:c>
      <x:c r="F5" s="20" t="s">
        <x:v>93</x:v>
      </x:c>
      <x:c r="G5" s="20" t="s">
        <x:v>94</x:v>
      </x:c>
    </x:row>
    <x:row r="6" ht="26" hidden="0" customHeight="1">
      <x:c r="A6" s="8" t="s">
        <x:v>92</x:v>
      </x:c>
      <x:c r="B6" s="21"/>
      <x:c r="C6" s="21"/>
      <x:c r="D6" s="19" t="str">
        <x:f aca="0">IF(OR(B6="",C6=""),"",ROUND(MOD(C6-B6,1)*1440,6))</x:f>
      </x:c>
      <x:c r="E6" s="23"/>
      <x:c r="F6" s="23"/>
      <x:c r="G6" s="23"/>
    </x:row>
    <x:row r="7" ht="26" hidden="0" customHeight="1">
      <x:c r="A7" s="4" t="s">
        <x:v>95</x:v>
      </x:c>
      <x:c r="B7" s="18"/>
      <x:c r="C7" s="18"/>
      <x:c r="D7" s="19" t="str">
        <x:f aca="0">IF(OR(B7="",C7=""),"",ROUND(MOD(C7-B7,1)*1440,6))</x:f>
      </x:c>
      <x:c r="E7" s="20"/>
      <x:c r="F7" s="20"/>
      <x:c r="G7" s="20"/>
    </x:row>
    <x:row r="8" ht="26" hidden="0" customHeight="1">
      <x:c r="A8" s="8" t="s">
        <x:v>95</x:v>
      </x:c>
      <x:c r="B8" s="21"/>
      <x:c r="C8" s="21"/>
      <x:c r="D8" s="19" t="str">
        <x:f aca="0">IF(OR(B8="",C8=""),"",ROUND(MOD(C8-B8,1)*1440,6))</x:f>
      </x:c>
      <x:c r="E8" s="23"/>
      <x:c r="F8" s="23"/>
      <x:c r="G8" s="23"/>
    </x:row>
    <x:row r="9" ht="26" hidden="0" customHeight="1">
      <x:c r="A9" s="4" t="s">
        <x:v>96</x:v>
      </x:c>
      <x:c r="B9" s="18" t="n">
        <x:v>0.833333333333333</x:v>
      </x:c>
      <x:c r="C9" s="18" t="n">
        <x:v>0.875</x:v>
      </x:c>
      <x:c r="D9" s="19" t="n">
        <x:f aca="0">IF(OR(B9="",C9=""),"",ROUND(MOD(C9-B9,1)*1440,6))</x:f>
        <x:v>60</x:v>
      </x:c>
      <x:c r="E9" s="20" t="s">
        <x:v>37</x:v>
      </x:c>
      <x:c r="F9" s="20" t="s">
        <x:v>93</x:v>
      </x:c>
      <x:c r="G9" s="20"/>
    </x:row>
    <x:row r="10" ht="26" hidden="0" customHeight="1">
      <x:c r="A10" s="8" t="s">
        <x:v>96</x:v>
      </x:c>
      <x:c r="B10" s="21"/>
      <x:c r="C10" s="21"/>
      <x:c r="D10" s="19" t="str">
        <x:f aca="0">IF(OR(B10="",C10=""),"",ROUND(MOD(C10-B10,1)*1440,6))</x:f>
      </x:c>
      <x:c r="E10" s="23"/>
      <x:c r="F10" s="23"/>
      <x:c r="G10" s="23"/>
    </x:row>
    <x:row r="11" ht="26" hidden="0" customHeight="1">
      <x:c r="A11" s="4" t="s">
        <x:v>98</x:v>
      </x:c>
      <x:c r="B11" s="18"/>
      <x:c r="C11" s="18"/>
      <x:c r="D11" s="19" t="str">
        <x:f aca="0">IF(OR(B11="",C11=""),"",ROUND(MOD(C11-B11,1)*1440,6))</x:f>
      </x:c>
      <x:c r="E11" s="20"/>
      <x:c r="F11" s="20"/>
      <x:c r="G11" s="20"/>
    </x:row>
    <x:row r="12" ht="26" hidden="0" customHeight="1">
      <x:c r="A12" s="8" t="s">
        <x:v>98</x:v>
      </x:c>
      <x:c r="B12" s="21"/>
      <x:c r="C12" s="21"/>
      <x:c r="D12" s="19" t="str">
        <x:f aca="0">IF(OR(B12="",C12=""),"",ROUND(MOD(C12-B12,1)*1440,6))</x:f>
      </x:c>
      <x:c r="E12" s="23"/>
      <x:c r="F12" s="23"/>
      <x:c r="G12" s="23"/>
    </x:row>
    <x:row r="13" ht="26" hidden="0" customHeight="1">
      <x:c r="A13" s="4" t="s">
        <x:v>99</x:v>
      </x:c>
      <x:c r="B13" s="18" t="n">
        <x:v>0.302083333333333</x:v>
      </x:c>
      <x:c r="C13" s="18" t="n">
        <x:v>0.375</x:v>
      </x:c>
      <x:c r="D13" s="19" t="n">
        <x:f aca="0">IF(OR(B13="",C13=""),"",ROUND(MOD(C13-B13,1)*1440,6))</x:f>
        <x:v>105</x:v>
      </x:c>
      <x:c r="E13" s="20" t="s">
        <x:v>37</x:v>
      </x:c>
      <x:c r="F13" s="20" t="s">
        <x:v>93</x:v>
      </x:c>
      <x:c r="G13" s="20"/>
    </x:row>
    <x:row r="14" ht="26" hidden="0" customHeight="1">
      <x:c r="A14" s="8" t="s">
        <x:v>99</x:v>
      </x:c>
      <x:c r="B14" s="21"/>
      <x:c r="C14" s="21"/>
      <x:c r="D14" s="22" t="str">
        <x:f aca="0">IF(OR(B14="",C14=""),"",ROUND(MOD(C14-B14,1)*1440,6))</x:f>
      </x:c>
      <x:c r="E14" s="23"/>
      <x:c r="F14" s="23"/>
      <x:c r="G14" s="23"/>
    </x:row>
    <x:row r="15" ht="28" hidden="0" customHeight="1">
      <x:c r="A15" s="4" t="s">
        <x:v>100</x:v>
      </x:c>
      <x:c r="B15" s="18" t="n">
        <x:v>0.4375</x:v>
      </x:c>
      <x:c r="C15" s="18" t="n">
        <x:v>0.479166666666667</x:v>
      </x:c>
      <x:c r="D15" s="19" t="n">
        <x:f aca="0">IF(OR(B15="",C15=""),"",ROUND(MOD(C15-B15,1)*1440,6))</x:f>
        <x:v>60</x:v>
      </x:c>
      <x:c r="E15" s="20" t="s">
        <x:v>31</x:v>
      </x:c>
      <x:c r="F15" s="20" t="s">
        <x:v>93</x:v>
      </x:c>
      <x:c r="G15" s="20"/>
    </x:row>
    <x:row r="16" ht="26" hidden="0" customHeight="1">
      <x:c r="A16" s="8" t="s">
        <x:v>100</x:v>
      </x:c>
      <x:c r="B16" s="21"/>
      <x:c r="C16" s="21"/>
      <x:c r="D16" s="22" t="str">
        <x:f aca="0">IF(OR(B16="",C16=""),"",ROUND(MOD(C16-B16,1)*1440,6))</x:f>
      </x:c>
      <x:c r="E16" s="23"/>
      <x:c r="F16" s="23"/>
      <x:c r="G16" s="2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465E"/>
  </x:sheetPr>
  <x:sheetViews>
    <x:sheetView showGridLines="0" workbookViewId="0">
      <x:pane xSplit="2" ySplit="2" topLeftCell="C3" activePane="bottomRight" state="frozen"/>
    </x:sheetView>
  </x:sheetViews>
  <x:sheetFormatPr defaultColWidth="8.6796875" defaultRowHeight="15"/>
  <x:cols>
    <x:col min="1" max="2" width="14" style="1" hidden="0" customWidth="1"/>
    <x:col min="3" max="3" width="82" style="1" hidden="0" customWidth="1"/>
    <x:col min="4" max="4" width="29" style="1" hidden="0" customWidth="1"/>
    <x:col min="5" max="7" width="17" style="1" hidden="0" customWidth="1"/>
    <x:col min="8" max="11" width="6" style="1" hidden="0" customWidth="1"/>
    <x:col min="12" max="12" width="6" hidden="0" customWidth="1"/>
    <x:col min="13" max="13" width="7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7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7" hidden="0" customWidth="1"/>
    <x:col min="26" max="26" width="6" hidden="0" customWidth="1"/>
    <x:col min="27" max="27" width="6" hidden="0" customWidth="1"/>
    <x:col min="28" max="28" width="6" hidden="0" customWidth="1"/>
    <x:col min="29" max="30" width="6" hidden="0" customWidth="1"/>
    <x:col min="31" max="31" width="7" hidden="0" customWidth="1"/>
    <x:col min="32" max="32" width="6" hidden="0" customWidth="1"/>
    <x:col min="33" max="35" width="6" hidden="0" customWidth="1"/>
    <x:col min="36" max="36" width="6" hidden="0" customWidth="1"/>
    <x:col min="37" max="37" width="7" hidden="0" customWidth="1"/>
    <x:col min="38" max="39" width="24" hidden="0" customWidth="1"/>
    <x:col min="40" max="41" width="19" hidden="0" customWidth="1"/>
    <x:col min="42" max="42" width="18" hidden="0" customWidth="1"/>
  </x:cols>
  <x:sheetData>
    <x:row r="1" ht="26" hidden="0" customHeight="1">
      <x:c r="A1" s="24" t="s">
        <x:v>102</x:v>
      </x:c>
      <x:c r="B1" s="24"/>
      <x:c r="C1" s="24"/>
      <x:c r="D1" s="24"/>
      <x:c r="E1" s="24"/>
      <x:c r="F1" s="24"/>
      <x:c r="G1" s="24"/>
      <x:c r="H1" s="24" t="s">
        <x:v>45</x:v>
      </x:c>
      <x:c r="I1" s="24"/>
      <x:c r="J1" s="24"/>
      <x:c r="K1" s="24"/>
      <x:c r="L1" s="24"/>
      <x:c r="M1" s="24"/>
      <x:c r="N1" s="24" t="s">
        <x:v>48</x:v>
      </x:c>
      <x:c r="O1" s="24"/>
      <x:c r="P1" s="24"/>
      <x:c r="Q1" s="24"/>
      <x:c r="R1" s="24"/>
      <x:c r="S1" s="24"/>
      <x:c r="T1" s="24" t="s">
        <x:v>103</x:v>
      </x:c>
      <x:c r="U1" s="24"/>
      <x:c r="V1" s="24"/>
      <x:c r="W1" s="24"/>
      <x:c r="X1" s="24"/>
      <x:c r="Y1" s="24"/>
      <x:c r="Z1" s="24" t="s">
        <x:v>104</x:v>
      </x:c>
      <x:c r="AA1" s="24"/>
      <x:c r="AB1" s="24"/>
      <x:c r="AC1" s="24"/>
      <x:c r="AD1" s="24"/>
      <x:c r="AE1" s="24"/>
      <x:c r="AF1" s="24" t="s">
        <x:v>105</x:v>
      </x:c>
      <x:c r="AG1" s="24"/>
      <x:c r="AH1" s="24"/>
      <x:c r="AI1" s="24"/>
      <x:c r="AJ1" s="24"/>
      <x:c r="AK1" s="24"/>
      <x:c r="AL1" s="24" t="s">
        <x:v>53</x:v>
      </x:c>
      <x:c r="AM1" s="25" t="s">
        <x:v>90</x:v>
      </x:c>
      <x:c r="AN1" s="25"/>
      <x:c r="AO1" s="26" t="s">
        <x:v>106</x:v>
      </x:c>
      <x:c r="AP1" s="26"/>
    </x:row>
    <x:row r="2" ht="42" hidden="0" customHeight="1">
      <x:c r="A2" s="27" t="s">
        <x:v>107</x:v>
      </x:c>
      <x:c r="B2" s="27" t="s">
        <x:v>108</x:v>
      </x:c>
      <x:c r="C2" s="27" t="s">
        <x:v>0</x:v>
      </x:c>
      <x:c r="D2" s="27" t="s">
        <x:v>109</x:v>
      </x:c>
      <x:c r="E2" s="27" t="s">
        <x:v>110</x:v>
      </x:c>
      <x:c r="F2" s="27" t="s">
        <x:v>111</x:v>
      </x:c>
      <x:c r="G2" s="28" t="s">
        <x:v>112</x:v>
      </x:c>
      <x:c r="H2" s="29" t="n">
        <x:v>1</x:v>
      </x:c>
      <x:c r="I2" s="29" t="n">
        <x:v>2</x:v>
      </x:c>
      <x:c r="J2" s="29" t="n">
        <x:v>3</x:v>
      </x:c>
      <x:c r="K2" s="29" t="n">
        <x:v>4</x:v>
      </x:c>
      <x:c r="L2" s="29" t="n">
        <x:v>5</x:v>
      </x:c>
      <x:c r="M2" s="30" t="s">
        <x:v>113</x:v>
      </x:c>
      <x:c r="N2" s="29" t="n">
        <x:v>1</x:v>
      </x:c>
      <x:c r="O2" s="29" t="n">
        <x:v>2</x:v>
      </x:c>
      <x:c r="P2" s="29" t="n">
        <x:v>3</x:v>
      </x:c>
      <x:c r="Q2" s="29" t="n">
        <x:v>4</x:v>
      </x:c>
      <x:c r="R2" s="29" t="n">
        <x:v>5</x:v>
      </x:c>
      <x:c r="S2" s="30" t="s">
        <x:v>113</x:v>
      </x:c>
      <x:c r="T2" s="29" t="n">
        <x:v>1</x:v>
      </x:c>
      <x:c r="U2" s="29" t="n">
        <x:v>2</x:v>
      </x:c>
      <x:c r="V2" s="29" t="n">
        <x:v>3</x:v>
      </x:c>
      <x:c r="W2" s="29" t="n">
        <x:v>4</x:v>
      </x:c>
      <x:c r="X2" s="29" t="n">
        <x:v>5</x:v>
      </x:c>
      <x:c r="Y2" s="30" t="s">
        <x:v>113</x:v>
      </x:c>
      <x:c r="Z2" s="29" t="n">
        <x:v>1</x:v>
      </x:c>
      <x:c r="AA2" s="29" t="n">
        <x:v>2</x:v>
      </x:c>
      <x:c r="AB2" s="29" t="n">
        <x:v>3</x:v>
      </x:c>
      <x:c r="AC2" s="29" t="n">
        <x:v>4</x:v>
      </x:c>
      <x:c r="AD2" s="29" t="n">
        <x:v>5</x:v>
      </x:c>
      <x:c r="AE2" s="30" t="s">
        <x:v>113</x:v>
      </x:c>
      <x:c r="AF2" s="29" t="n">
        <x:v>1</x:v>
      </x:c>
      <x:c r="AG2" s="29" t="n">
        <x:v>2</x:v>
      </x:c>
      <x:c r="AH2" s="29" t="n">
        <x:v>3</x:v>
      </x:c>
      <x:c r="AI2" s="29" t="n">
        <x:v>4</x:v>
      </x:c>
      <x:c r="AJ2" s="29" t="n">
        <x:v>5</x:v>
      </x:c>
      <x:c r="AK2" s="30" t="s">
        <x:v>113</x:v>
      </x:c>
      <x:c r="AL2" s="30" t="s">
        <x:v>114</x:v>
      </x:c>
      <x:c r="AM2" s="31" t="s">
        <x:v>90</x:v>
      </x:c>
      <x:c r="AN2" s="29" t="s">
        <x:v>115</x:v>
      </x:c>
      <x:c r="AO2" s="14" t="s">
        <x:v>116</x:v>
      </x:c>
      <x:c r="AP2" s="14" t="s">
        <x:v>117</x:v>
      </x:c>
    </x:row>
    <x:row r="3" ht="135" hidden="0" customHeight="1">
      <x:c r="A3" s="32" t="n">
        <x:f aca="0">Strategy!$E$3+0</x:f>
        <x:v>46328.5</x:v>
      </x:c>
      <x:c r="B3" s="33" t="s">
        <x:v>45</x:v>
      </x:c>
      <x:c r="C3" s="83" t="str">
        <x:f>"Warm-up: 8 min. Rest: 2–3 min strength; 90 sec legs; 60–90 sec handstand walks. Leave 1–2 reps in reserve."&amp;CHAR(10)&amp;Strategy!H21</x:f>
        <x:v>Warm-up: 8 min. Rest: 2–3 min strength; 90 sec legs; 60–90 sec handstand walks. Leave 1–2 reps in reserve.
A) High pull: 4 x 3
B) Pull-up: 4 x 6
C) Parallel-bar dip: 4 x 12
D) Box pistol: 4 x 5/leg
E) Sliding hamstring curl: 3 x 10</x:v>
      </x:c>
      <x:c r="D3" s="33" t="str">
        <x:v>Pull and muscle-up strength</x:v>
      </x:c>
      <x:c r="E3" s="33" t="n">
        <x:v>80</x:v>
      </x:c>
      <x:c r="F3" s="35"/>
      <x:c r="G3" s="36" t="b">
        <x:f aca="0">FALSE()</x:f>
        <x:v>0</x:v>
      </x:c>
      <x:c r="H3" s="72" t="n">
        <x:v>3</x:v>
      </x:c>
      <x:c r="I3" s="72" t="n">
        <x:v>3</x:v>
      </x:c>
      <x:c r="J3" s="72" t="n">
        <x:v>3</x:v>
      </x:c>
      <x:c r="K3" s="72" t="n">
        <x:v>3</x:v>
      </x:c>
      <x:c r="L3" s="72"/>
      <x:c r="M3" s="73"/>
      <x:c r="N3" s="72" t="n">
        <x:v>6</x:v>
      </x:c>
      <x:c r="O3" s="72" t="n">
        <x:v>6</x:v>
      </x:c>
      <x:c r="P3" s="72" t="n">
        <x:v>6</x:v>
      </x:c>
      <x:c r="Q3" s="72" t="n">
        <x:v>6</x:v>
      </x:c>
      <x:c r="R3" s="72"/>
      <x:c r="S3" s="73"/>
      <x:c r="T3" s="72" t="n">
        <x:v>12</x:v>
      </x:c>
      <x:c r="U3" s="72" t="n">
        <x:v>12</x:v>
      </x:c>
      <x:c r="V3" s="72" t="n">
        <x:v>12</x:v>
      </x:c>
      <x:c r="W3" s="72" t="n">
        <x:v>12</x:v>
      </x:c>
      <x:c r="X3" s="72"/>
      <x:c r="Y3" s="73"/>
      <x:c r="Z3" s="72" t="n">
        <x:v>5</x:v>
      </x:c>
      <x:c r="AA3" s="72" t="n">
        <x:v>5</x:v>
      </x:c>
      <x:c r="AB3" s="72" t="n">
        <x:v>5</x:v>
      </x:c>
      <x:c r="AC3" s="72" t="n">
        <x:v>5</x:v>
      </x:c>
      <x:c r="AD3" s="72"/>
      <x:c r="AE3" s="73"/>
      <x:c r="AF3" s="72" t="n">
        <x:v>10</x:v>
      </x:c>
      <x:c r="AG3" s="72" t="n">
        <x:v>10</x:v>
      </x:c>
      <x:c r="AH3" s="72" t="n">
        <x:v>10</x:v>
      </x:c>
      <x:c r="AI3" s="72"/>
      <x:c r="AJ3" s="72"/>
      <x:c r="AK3" s="73"/>
      <x:c r="AL3" s="73"/>
      <x:c r="AM3" s="39"/>
      <x:c r="AN3" s="40" t="s">
        <x:v>118</x:v>
      </x:c>
      <x:c r="AO3" s="41">
        <x:f>Scoring!P3</x:f>
        <x:v>4</x:v>
      </x:c>
      <x:c r="AP3" s="42"/>
    </x:row>
    <x:row r="4" ht="80" hidden="0" customHeight="1">
      <x:c r="A4" s="43" t="n">
        <x:f aca="0">Strategy!$E$3+1</x:f>
        <x:v>46329.5</x:v>
      </x:c>
      <x:c r="B4" s="44" t="s">
        <x:v>51</x:v>
      </x:c>
      <x:c r="C4" s="84" t="str">
        <x:v>Easy movement; rest 60 sec.
A) Wrist/shoulder mobility: 1 x 120 sec
B) Easy handstand walk: 3 x 2 m
C) Easy bear crawl: 3 x 20 sec</x:v>
      </x:c>
      <x:c r="D4" s="44" t="str">
        <x:v>Optional movement practice</x:v>
      </x:c>
      <x:c r="E4" s="44" t="n">
        <x:v>10</x:v>
      </x:c>
      <x:c r="F4" s="45"/>
      <x:c r="G4" s="46" t="b">
        <x:f aca="0">FALSE()</x:f>
        <x:v>0</x:v>
      </x:c>
      <x:c r="H4" s="76" t="n">
        <x:v>0.001388888888888889</x:v>
      </x:c>
      <x:c r="I4" s="76"/>
      <x:c r="J4" s="76"/>
      <x:c r="K4" s="76"/>
      <x:c r="L4" s="76"/>
      <x:c r="M4" s="75"/>
      <x:c r="N4" s="77" t="n">
        <x:v>2</x:v>
      </x:c>
      <x:c r="O4" s="77" t="n">
        <x:v>2</x:v>
      </x:c>
      <x:c r="P4" s="77" t="n">
        <x:v>2</x:v>
      </x:c>
      <x:c r="Q4" s="77"/>
      <x:c r="R4" s="77"/>
      <x:c r="S4" s="75"/>
      <x:c r="T4" s="76" t="n">
        <x:v>0.0002314814814814815</x:v>
      </x:c>
      <x:c r="U4" s="76" t="n">
        <x:v>0.0002314814814814815</x:v>
      </x:c>
      <x:c r="V4" s="76" t="n">
        <x:v>0.0002314814814814815</x:v>
      </x:c>
      <x:c r="W4" s="76"/>
      <x:c r="X4" s="76"/>
      <x:c r="Y4" s="75"/>
      <x:c r="Z4" s="74"/>
      <x:c r="AA4" s="74"/>
      <x:c r="AB4" s="74"/>
      <x:c r="AC4" s="74"/>
      <x:c r="AD4" s="74"/>
      <x:c r="AE4" s="75"/>
      <x:c r="AF4" s="74"/>
      <x:c r="AG4" s="74"/>
      <x:c r="AH4" s="74"/>
      <x:c r="AI4" s="74"/>
      <x:c r="AJ4" s="74"/>
      <x:c r="AK4" s="75"/>
      <x:c r="AL4" s="75"/>
      <x:c r="AM4" s="50"/>
      <x:c r="AN4" s="51" t="s">
        <x:v>118</x:v>
      </x:c>
      <x:c r="AO4" s="52">
        <x:f>Scoring!P8</x:f>
        <x:v>1</x:v>
      </x:c>
      <x:c r="AP4" s="53"/>
    </x:row>
    <x:row r="5" ht="135" hidden="0" customHeight="1">
      <x:c r="A5" s="32" t="n">
        <x:f aca="0">Strategy!$E$3+2</x:f>
        <x:v>46330.5</x:v>
      </x:c>
      <x:c r="B5" s="33" t="s">
        <x:v>48</x:v>
      </x:c>
      <x:c r="C5" s="83" t="str">
        <x:f>"Warm-up: 8 min. Rest: 2–3 min strength; 90 sec legs; 60–90 sec handstand walks. Leave 1–2 reps in reserve."&amp;CHAR(10)&amp;Strategy!I21</x:f>
        <x:v>Warm-up: 8 min. Rest: 2–3 min strength; 90 sec legs; 60–90 sec handstand walks. Leave 1–2 reps in reserve.
A) Handstand walk: 3 x 3 m
B) Elevated pike push-up: 4 x 8
C) Pull-up: 4 x 6
D) Box pistol: 4 x 5/leg
E) Bar row: 4 x 12</x:v>
      </x:c>
      <x:c r="D5" s="33" t="str">
        <x:v>Handstand movement and strength</x:v>
      </x:c>
      <x:c r="E5" s="33" t="n">
        <x:v>80</x:v>
      </x:c>
      <x:c r="F5" s="35"/>
      <x:c r="G5" s="36" t="b">
        <x:f aca="0">FALSE()</x:f>
        <x:v>0</x:v>
      </x:c>
      <x:c r="H5" s="78" t="n">
        <x:v>3</x:v>
      </x:c>
      <x:c r="I5" s="78" t="n">
        <x:v>3</x:v>
      </x:c>
      <x:c r="J5" s="78" t="n">
        <x:v>3</x:v>
      </x:c>
      <x:c r="K5" s="78"/>
      <x:c r="L5" s="78"/>
      <x:c r="M5" s="73"/>
      <x:c r="N5" s="72" t="n">
        <x:v>8</x:v>
      </x:c>
      <x:c r="O5" s="72" t="n">
        <x:v>8</x:v>
      </x:c>
      <x:c r="P5" s="72" t="n">
        <x:v>8</x:v>
      </x:c>
      <x:c r="Q5" s="72" t="n">
        <x:v>8</x:v>
      </x:c>
      <x:c r="R5" s="72"/>
      <x:c r="S5" s="73"/>
      <x:c r="T5" s="72" t="n">
        <x:v>6</x:v>
      </x:c>
      <x:c r="U5" s="72" t="n">
        <x:v>6</x:v>
      </x:c>
      <x:c r="V5" s="72" t="n">
        <x:v>6</x:v>
      </x:c>
      <x:c r="W5" s="72" t="n">
        <x:v>6</x:v>
      </x:c>
      <x:c r="X5" s="72"/>
      <x:c r="Y5" s="73"/>
      <x:c r="Z5" s="72" t="n">
        <x:v>5</x:v>
      </x:c>
      <x:c r="AA5" s="72" t="n">
        <x:v>5</x:v>
      </x:c>
      <x:c r="AB5" s="72" t="n">
        <x:v>5</x:v>
      </x:c>
      <x:c r="AC5" s="72" t="n">
        <x:v>5</x:v>
      </x:c>
      <x:c r="AD5" s="72"/>
      <x:c r="AE5" s="73"/>
      <x:c r="AF5" s="72" t="n">
        <x:v>12</x:v>
      </x:c>
      <x:c r="AG5" s="72" t="n">
        <x:v>12</x:v>
      </x:c>
      <x:c r="AH5" s="72" t="n">
        <x:v>12</x:v>
      </x:c>
      <x:c r="AI5" s="72" t="n">
        <x:v>12</x:v>
      </x:c>
      <x:c r="AJ5" s="72"/>
      <x:c r="AK5" s="73"/>
      <x:c r="AL5" s="73"/>
      <x:c r="AM5" s="39"/>
      <x:c r="AN5" s="40" t="s">
        <x:v>118</x:v>
      </x:c>
      <x:c r="AO5" s="41">
        <x:f>Scoring!P11</x:f>
        <x:v>3.8</x:v>
      </x:c>
      <x:c r="AP5" s="42"/>
    </x:row>
    <x:row r="6" ht="135" hidden="0" customHeight="1">
      <x:c r="A6" s="43" t="n">
        <x:f aca="0">Strategy!$E$3+4</x:f>
        <x:v>46332.5</x:v>
      </x:c>
      <x:c r="B6" s="44" t="s">
        <x:v>51</x:v>
      </x:c>
      <x:c r="C6" s="84" t="str">
        <x:v>Warm-up: 8 min. Rest: 2–3 min strength; 90 sec legs; 60–90 sec handstand walks. Leave 1–2 reps in reserve.
A) Low-bar transition: 4 x 3
B) Handstand walk: 4 x 3 m
C) Straight-bar dip: 4 x 8
D) Elevated pike push-up: 4 x 8
Cal-Intervals: 5 rounds
Circuit: pull / Mike Tyson push-ups / squat / hanging core. 30 sec work + 20 sec rest.</x:v>
      </x:c>
      <x:c r="D6" s="44" t="str">
        <x:v>Muscle-up movement + Cal-Intervals</x:v>
      </x:c>
      <x:c r="E6" s="44" t="n">
        <x:v>85</x:v>
      </x:c>
      <x:c r="F6" s="45"/>
      <x:c r="G6" s="46" t="b">
        <x:f aca="0">FALSE()</x:f>
        <x:v>0</x:v>
      </x:c>
      <x:c r="H6" s="74" t="n">
        <x:v>3</x:v>
      </x:c>
      <x:c r="I6" s="74" t="n">
        <x:v>3</x:v>
      </x:c>
      <x:c r="J6" s="74" t="n">
        <x:v>3</x:v>
      </x:c>
      <x:c r="K6" s="74" t="n">
        <x:v>3</x:v>
      </x:c>
      <x:c r="L6" s="74"/>
      <x:c r="M6" s="75"/>
      <x:c r="N6" s="77" t="n">
        <x:v>3</x:v>
      </x:c>
      <x:c r="O6" s="77" t="n">
        <x:v>3</x:v>
      </x:c>
      <x:c r="P6" s="77" t="n">
        <x:v>3</x:v>
      </x:c>
      <x:c r="Q6" s="77" t="n">
        <x:v>3</x:v>
      </x:c>
      <x:c r="R6" s="77"/>
      <x:c r="S6" s="75"/>
      <x:c r="T6" s="74" t="n">
        <x:v>8</x:v>
      </x:c>
      <x:c r="U6" s="74" t="n">
        <x:v>8</x:v>
      </x:c>
      <x:c r="V6" s="74" t="n">
        <x:v>8</x:v>
      </x:c>
      <x:c r="W6" s="74" t="n">
        <x:v>8</x:v>
      </x:c>
      <x:c r="X6" s="74"/>
      <x:c r="Y6" s="75"/>
      <x:c r="Z6" s="74" t="n">
        <x:v>8</x:v>
      </x:c>
      <x:c r="AA6" s="74" t="n">
        <x:v>8</x:v>
      </x:c>
      <x:c r="AB6" s="74" t="n">
        <x:v>8</x:v>
      </x:c>
      <x:c r="AC6" s="74" t="n">
        <x:v>8</x:v>
      </x:c>
      <x:c r="AD6" s="74"/>
      <x:c r="AE6" s="75"/>
      <x:c r="AF6" s="74"/>
      <x:c r="AG6" s="74"/>
      <x:c r="AH6" s="74"/>
      <x:c r="AI6" s="74"/>
      <x:c r="AJ6" s="74"/>
      <x:c r="AK6" s="75"/>
      <x:c r="AL6" s="75" t="n">
        <x:v>5</x:v>
      </x:c>
      <x:c r="AM6" s="50"/>
      <x:c r="AN6" s="51" t="s">
        <x:v>118</x:v>
      </x:c>
      <x:c r="AO6" s="52">
        <x:f>Scoring!P16</x:f>
        <x:v>4.4</x:v>
      </x:c>
      <x:c r="AP6" s="53"/>
    </x:row>
    <x:row r="7" ht="135" hidden="0" customHeight="1">
      <x:c r="A7" s="32" t="n">
        <x:f aca="0">Strategy!$E$3+7</x:f>
        <x:v>46335.5</x:v>
      </x:c>
      <x:c r="B7" s="33" t="s">
        <x:v>45</x:v>
      </x:c>
      <x:c r="C7" s="83" t="str">
        <x:f>"Warm-up: 8 min. Rest: 2–3 min strength; 90 sec legs; 60–90 sec handstand walks. Leave 1–2 reps in reserve."&amp;CHAR(10)&amp;Strategy!H22</x:f>
        <x:v>Warm-up: 8 min. Rest: 2–3 min strength; 90 sec legs; 60–90 sec handstand walks. Leave 1–2 reps in reserve.
A) High pull: 4 x 3
B) Pull-up: 4 x 6
C) Parallel-bar dip: 4 x 12
D) Box pistol: 4 x 5/leg
E) Sliding hamstring curl: 3 x 10</x:v>
      </x:c>
      <x:c r="D7" s="33" t="str">
        <x:v>Pull and muscle-up strength</x:v>
      </x:c>
      <x:c r="E7" s="33" t="n">
        <x:v>80</x:v>
      </x:c>
      <x:c r="F7" s="35"/>
      <x:c r="G7" s="36" t="b">
        <x:f aca="0">FALSE()</x:f>
        <x:v>0</x:v>
      </x:c>
      <x:c r="H7" s="72" t="n">
        <x:v>3</x:v>
      </x:c>
      <x:c r="I7" s="72" t="n">
        <x:v>3</x:v>
      </x:c>
      <x:c r="J7" s="72" t="n">
        <x:v>3</x:v>
      </x:c>
      <x:c r="K7" s="72" t="n">
        <x:v>3</x:v>
      </x:c>
      <x:c r="L7" s="72"/>
      <x:c r="M7" s="73"/>
      <x:c r="N7" s="72" t="n">
        <x:v>6</x:v>
      </x:c>
      <x:c r="O7" s="72" t="n">
        <x:v>6</x:v>
      </x:c>
      <x:c r="P7" s="72" t="n">
        <x:v>6</x:v>
      </x:c>
      <x:c r="Q7" s="72" t="n">
        <x:v>6</x:v>
      </x:c>
      <x:c r="R7" s="72"/>
      <x:c r="S7" s="73"/>
      <x:c r="T7" s="72" t="n">
        <x:v>12</x:v>
      </x:c>
      <x:c r="U7" s="72" t="n">
        <x:v>12</x:v>
      </x:c>
      <x:c r="V7" s="72" t="n">
        <x:v>12</x:v>
      </x:c>
      <x:c r="W7" s="72" t="n">
        <x:v>12</x:v>
      </x:c>
      <x:c r="X7" s="72"/>
      <x:c r="Y7" s="73"/>
      <x:c r="Z7" s="72" t="n">
        <x:v>5</x:v>
      </x:c>
      <x:c r="AA7" s="72" t="n">
        <x:v>5</x:v>
      </x:c>
      <x:c r="AB7" s="72" t="n">
        <x:v>5</x:v>
      </x:c>
      <x:c r="AC7" s="72" t="n">
        <x:v>5</x:v>
      </x:c>
      <x:c r="AD7" s="72"/>
      <x:c r="AE7" s="73"/>
      <x:c r="AF7" s="72" t="n">
        <x:v>10</x:v>
      </x:c>
      <x:c r="AG7" s="72" t="n">
        <x:v>10</x:v>
      </x:c>
      <x:c r="AH7" s="72" t="n">
        <x:v>10</x:v>
      </x:c>
      <x:c r="AI7" s="72"/>
      <x:c r="AJ7" s="72"/>
      <x:c r="AK7" s="73"/>
      <x:c r="AL7" s="73"/>
      <x:c r="AM7" s="39"/>
      <x:c r="AN7" s="40" t="s">
        <x:v>118</x:v>
      </x:c>
      <x:c r="AO7" s="41">
        <x:f>Scoring!P21</x:f>
        <x:v>4</x:v>
      </x:c>
      <x:c r="AP7" s="42"/>
    </x:row>
    <x:row r="8" ht="80" hidden="0" customHeight="1">
      <x:c r="A8" s="43" t="n">
        <x:f aca="0">Strategy!$E$3+8</x:f>
        <x:v>46336.5</x:v>
      </x:c>
      <x:c r="B8" s="44" t="s">
        <x:v>51</x:v>
      </x:c>
      <x:c r="C8" s="84" t="str">
        <x:v>Easy movement; rest 60 sec.
A) Wrist/shoulder mobility: 1 x 120 sec
B) Easy handstand walk: 3 x 2 m
C) Easy bear crawl: 3 x 20 sec</x:v>
      </x:c>
      <x:c r="D8" s="44" t="str">
        <x:v>Optional movement practice</x:v>
      </x:c>
      <x:c r="E8" s="44" t="n">
        <x:v>10</x:v>
      </x:c>
      <x:c r="F8" s="45"/>
      <x:c r="G8" s="46" t="b">
        <x:f aca="0">FALSE()</x:f>
        <x:v>0</x:v>
      </x:c>
      <x:c r="H8" s="76" t="n">
        <x:v>0.001388888888888889</x:v>
      </x:c>
      <x:c r="I8" s="76"/>
      <x:c r="J8" s="76"/>
      <x:c r="K8" s="76"/>
      <x:c r="L8" s="76"/>
      <x:c r="M8" s="75"/>
      <x:c r="N8" s="77" t="n">
        <x:v>2</x:v>
      </x:c>
      <x:c r="O8" s="77" t="n">
        <x:v>2</x:v>
      </x:c>
      <x:c r="P8" s="77" t="n">
        <x:v>2</x:v>
      </x:c>
      <x:c r="Q8" s="77"/>
      <x:c r="R8" s="77"/>
      <x:c r="S8" s="75"/>
      <x:c r="T8" s="76" t="n">
        <x:v>0.0002314814814814815</x:v>
      </x:c>
      <x:c r="U8" s="76" t="n">
        <x:v>0.0002314814814814815</x:v>
      </x:c>
      <x:c r="V8" s="76" t="n">
        <x:v>0.0002314814814814815</x:v>
      </x:c>
      <x:c r="W8" s="76"/>
      <x:c r="X8" s="76"/>
      <x:c r="Y8" s="75"/>
      <x:c r="Z8" s="74"/>
      <x:c r="AA8" s="74"/>
      <x:c r="AB8" s="74"/>
      <x:c r="AC8" s="74"/>
      <x:c r="AD8" s="74"/>
      <x:c r="AE8" s="75"/>
      <x:c r="AF8" s="74"/>
      <x:c r="AG8" s="74"/>
      <x:c r="AH8" s="74"/>
      <x:c r="AI8" s="74"/>
      <x:c r="AJ8" s="74"/>
      <x:c r="AK8" s="75"/>
      <x:c r="AL8" s="75"/>
      <x:c r="AM8" s="50"/>
      <x:c r="AN8" s="51" t="s">
        <x:v>118</x:v>
      </x:c>
      <x:c r="AO8" s="52">
        <x:f>Scoring!P26</x:f>
        <x:v>1</x:v>
      </x:c>
      <x:c r="AP8" s="53"/>
    </x:row>
    <x:row r="9" ht="135" hidden="0" customHeight="1">
      <x:c r="A9" s="32" t="n">
        <x:f aca="0">Strategy!$E$3+9</x:f>
        <x:v>46337.5</x:v>
      </x:c>
      <x:c r="B9" s="33" t="s">
        <x:v>48</x:v>
      </x:c>
      <x:c r="C9" s="83" t="str">
        <x:f>"Warm-up: 8 min. Rest: 2–3 min strength; 90 sec legs; 60–90 sec handstand walks. Leave 1–2 reps in reserve."&amp;CHAR(10)&amp;Strategy!I22</x:f>
        <x:v>Warm-up: 8 min. Rest: 2–3 min strength; 90 sec legs; 60–90 sec handstand walks. Leave 1–2 reps in reserve.
A) Handstand walk: 3 x 3 m
B) Elevated pike push-up: 4 x 8
C) Pull-up: 4 x 6
D) Box pistol: 4 x 5/leg
E) Bar row: 4 x 12</x:v>
      </x:c>
      <x:c r="D9" s="33" t="str">
        <x:v>Handstand movement and strength</x:v>
      </x:c>
      <x:c r="E9" s="33" t="n">
        <x:v>80</x:v>
      </x:c>
      <x:c r="F9" s="35"/>
      <x:c r="G9" s="36" t="b">
        <x:f aca="0">FALSE()</x:f>
        <x:v>0</x:v>
      </x:c>
      <x:c r="H9" s="78" t="n">
        <x:v>3</x:v>
      </x:c>
      <x:c r="I9" s="78" t="n">
        <x:v>3</x:v>
      </x:c>
      <x:c r="J9" s="78" t="n">
        <x:v>3</x:v>
      </x:c>
      <x:c r="K9" s="78"/>
      <x:c r="L9" s="78"/>
      <x:c r="M9" s="73"/>
      <x:c r="N9" s="72" t="n">
        <x:v>8</x:v>
      </x:c>
      <x:c r="O9" s="72" t="n">
        <x:v>8</x:v>
      </x:c>
      <x:c r="P9" s="72" t="n">
        <x:v>8</x:v>
      </x:c>
      <x:c r="Q9" s="72" t="n">
        <x:v>8</x:v>
      </x:c>
      <x:c r="R9" s="72"/>
      <x:c r="S9" s="73"/>
      <x:c r="T9" s="72" t="n">
        <x:v>6</x:v>
      </x:c>
      <x:c r="U9" s="72" t="n">
        <x:v>6</x:v>
      </x:c>
      <x:c r="V9" s="72" t="n">
        <x:v>6</x:v>
      </x:c>
      <x:c r="W9" s="72" t="n">
        <x:v>6</x:v>
      </x:c>
      <x:c r="X9" s="72"/>
      <x:c r="Y9" s="73"/>
      <x:c r="Z9" s="72" t="n">
        <x:v>5</x:v>
      </x:c>
      <x:c r="AA9" s="72" t="n">
        <x:v>5</x:v>
      </x:c>
      <x:c r="AB9" s="72" t="n">
        <x:v>5</x:v>
      </x:c>
      <x:c r="AC9" s="72" t="n">
        <x:v>5</x:v>
      </x:c>
      <x:c r="AD9" s="72"/>
      <x:c r="AE9" s="73"/>
      <x:c r="AF9" s="72" t="n">
        <x:v>12</x:v>
      </x:c>
      <x:c r="AG9" s="72" t="n">
        <x:v>12</x:v>
      </x:c>
      <x:c r="AH9" s="72" t="n">
        <x:v>12</x:v>
      </x:c>
      <x:c r="AI9" s="72" t="n">
        <x:v>12</x:v>
      </x:c>
      <x:c r="AJ9" s="72"/>
      <x:c r="AK9" s="73"/>
      <x:c r="AL9" s="73"/>
      <x:c r="AM9" s="39"/>
      <x:c r="AN9" s="40" t="s">
        <x:v>118</x:v>
      </x:c>
      <x:c r="AO9" s="41">
        <x:f>Scoring!P29</x:f>
        <x:v>3.8</x:v>
      </x:c>
      <x:c r="AP9" s="42"/>
    </x:row>
    <x:row r="10" ht="135" hidden="0" customHeight="1">
      <x:c r="A10" s="43" t="n">
        <x:f aca="0">Strategy!$E$3+11</x:f>
        <x:v>46339.5</x:v>
      </x:c>
      <x:c r="B10" s="44" t="s">
        <x:v>51</x:v>
      </x:c>
      <x:c r="C10" s="84" t="str">
        <x:v>Warm-up: 8 min. Rest: 2–3 min strength; 90 sec legs; 60–90 sec handstand walks. Leave 1–2 reps in reserve.
A) Low-bar transition: 4 x 3
B) Handstand walk: 4 x 3 m
C) Straight-bar dip: 4 x 8
D) Elevated pike push-up: 4 x 8
Cal-Intervals: 5 rounds
Circuit: pull / Mike Tyson push-ups / squat / hanging core. 30 sec work + 20 sec rest.</x:v>
      </x:c>
      <x:c r="D10" s="44" t="str">
        <x:v>Muscle-up movement + Cal-Intervals</x:v>
      </x:c>
      <x:c r="E10" s="44" t="n">
        <x:v>85</x:v>
      </x:c>
      <x:c r="F10" s="45"/>
      <x:c r="G10" s="46" t="b">
        <x:f aca="0">FALSE()</x:f>
        <x:v>0</x:v>
      </x:c>
      <x:c r="H10" s="74" t="n">
        <x:v>3</x:v>
      </x:c>
      <x:c r="I10" s="74" t="n">
        <x:v>3</x:v>
      </x:c>
      <x:c r="J10" s="74" t="n">
        <x:v>3</x:v>
      </x:c>
      <x:c r="K10" s="74" t="n">
        <x:v>3</x:v>
      </x:c>
      <x:c r="L10" s="74"/>
      <x:c r="M10" s="75"/>
      <x:c r="N10" s="77" t="n">
        <x:v>3</x:v>
      </x:c>
      <x:c r="O10" s="77" t="n">
        <x:v>3</x:v>
      </x:c>
      <x:c r="P10" s="77" t="n">
        <x:v>3</x:v>
      </x:c>
      <x:c r="Q10" s="77" t="n">
        <x:v>3</x:v>
      </x:c>
      <x:c r="R10" s="77"/>
      <x:c r="S10" s="75"/>
      <x:c r="T10" s="74" t="n">
        <x:v>8</x:v>
      </x:c>
      <x:c r="U10" s="74" t="n">
        <x:v>8</x:v>
      </x:c>
      <x:c r="V10" s="74" t="n">
        <x:v>8</x:v>
      </x:c>
      <x:c r="W10" s="74" t="n">
        <x:v>8</x:v>
      </x:c>
      <x:c r="X10" s="74"/>
      <x:c r="Y10" s="75"/>
      <x:c r="Z10" s="74" t="n">
        <x:v>8</x:v>
      </x:c>
      <x:c r="AA10" s="74" t="n">
        <x:v>8</x:v>
      </x:c>
      <x:c r="AB10" s="74" t="n">
        <x:v>8</x:v>
      </x:c>
      <x:c r="AC10" s="74" t="n">
        <x:v>8</x:v>
      </x:c>
      <x:c r="AD10" s="74"/>
      <x:c r="AE10" s="75"/>
      <x:c r="AF10" s="74"/>
      <x:c r="AG10" s="74"/>
      <x:c r="AH10" s="74"/>
      <x:c r="AI10" s="74"/>
      <x:c r="AJ10" s="74"/>
      <x:c r="AK10" s="75"/>
      <x:c r="AL10" s="75" t="n">
        <x:v>5</x:v>
      </x:c>
      <x:c r="AM10" s="50"/>
      <x:c r="AN10" s="51" t="s">
        <x:v>118</x:v>
      </x:c>
      <x:c r="AO10" s="52">
        <x:f>Scoring!P34</x:f>
        <x:v>4.4</x:v>
      </x:c>
      <x:c r="AP10" s="53"/>
    </x:row>
    <x:row r="11" ht="135" hidden="0" customHeight="1">
      <x:c r="A11" s="32" t="n">
        <x:f aca="0">Strategy!$E$3+14</x:f>
        <x:v>46342.5</x:v>
      </x:c>
      <x:c r="B11" s="33" t="s">
        <x:v>45</x:v>
      </x:c>
      <x:c r="C11" s="83" t="str">
        <x:f>"Warm-up: 8 min. Rest: 2–3 min strength; 90 sec legs; 60–90 sec handstand walks. Leave 1–2 reps in reserve."&amp;CHAR(10)&amp;Strategy!H23</x:f>
        <x:v>Warm-up: 8 min. Rest: 2–3 min strength; 90 sec legs; 60–90 sec handstand walks. Leave 1–2 reps in reserve.
A) High pull: 4 x 3
B) Pull-up: 4 x 6
C) Parallel-bar dip: 4 x 12
D) Box pistol: 4 x 5/leg
E) Sliding hamstring curl: 3 x 10</x:v>
      </x:c>
      <x:c r="D11" s="33" t="str">
        <x:v>Pull and muscle-up strength</x:v>
      </x:c>
      <x:c r="E11" s="33" t="n">
        <x:v>80</x:v>
      </x:c>
      <x:c r="F11" s="35"/>
      <x:c r="G11" s="36" t="b">
        <x:f aca="0">FALSE()</x:f>
        <x:v>0</x:v>
      </x:c>
      <x:c r="H11" s="72" t="n">
        <x:v>3</x:v>
      </x:c>
      <x:c r="I11" s="72" t="n">
        <x:v>3</x:v>
      </x:c>
      <x:c r="J11" s="72" t="n">
        <x:v>3</x:v>
      </x:c>
      <x:c r="K11" s="72" t="n">
        <x:v>3</x:v>
      </x:c>
      <x:c r="L11" s="72"/>
      <x:c r="M11" s="73"/>
      <x:c r="N11" s="72" t="n">
        <x:v>6</x:v>
      </x:c>
      <x:c r="O11" s="72" t="n">
        <x:v>6</x:v>
      </x:c>
      <x:c r="P11" s="72" t="n">
        <x:v>6</x:v>
      </x:c>
      <x:c r="Q11" s="72" t="n">
        <x:v>6</x:v>
      </x:c>
      <x:c r="R11" s="72"/>
      <x:c r="S11" s="73"/>
      <x:c r="T11" s="72" t="n">
        <x:v>12</x:v>
      </x:c>
      <x:c r="U11" s="72" t="n">
        <x:v>12</x:v>
      </x:c>
      <x:c r="V11" s="72" t="n">
        <x:v>12</x:v>
      </x:c>
      <x:c r="W11" s="72" t="n">
        <x:v>12</x:v>
      </x:c>
      <x:c r="X11" s="72"/>
      <x:c r="Y11" s="73"/>
      <x:c r="Z11" s="72" t="n">
        <x:v>5</x:v>
      </x:c>
      <x:c r="AA11" s="72" t="n">
        <x:v>5</x:v>
      </x:c>
      <x:c r="AB11" s="72" t="n">
        <x:v>5</x:v>
      </x:c>
      <x:c r="AC11" s="72" t="n">
        <x:v>5</x:v>
      </x:c>
      <x:c r="AD11" s="72"/>
      <x:c r="AE11" s="73"/>
      <x:c r="AF11" s="72" t="n">
        <x:v>10</x:v>
      </x:c>
      <x:c r="AG11" s="72" t="n">
        <x:v>10</x:v>
      </x:c>
      <x:c r="AH11" s="72" t="n">
        <x:v>10</x:v>
      </x:c>
      <x:c r="AI11" s="72"/>
      <x:c r="AJ11" s="72"/>
      <x:c r="AK11" s="73"/>
      <x:c r="AL11" s="73"/>
      <x:c r="AM11" s="39"/>
      <x:c r="AN11" s="40" t="s">
        <x:v>118</x:v>
      </x:c>
      <x:c r="AO11" s="41">
        <x:f>Scoring!P39</x:f>
        <x:v>4</x:v>
      </x:c>
      <x:c r="AP11" s="42"/>
    </x:row>
    <x:row r="12" ht="80" hidden="0" customHeight="1">
      <x:c r="A12" s="43" t="n">
        <x:f aca="0">Strategy!$E$3+15</x:f>
        <x:v>46343.5</x:v>
      </x:c>
      <x:c r="B12" s="44" t="s">
        <x:v>51</x:v>
      </x:c>
      <x:c r="C12" s="84" t="str">
        <x:v>Easy movement; rest 60 sec.
A) Wrist/shoulder mobility: 1 x 120 sec
B) Easy handstand walk: 3 x 2 m
C) Easy bear crawl: 3 x 20 sec</x:v>
      </x:c>
      <x:c r="D12" s="44" t="str">
        <x:v>Optional movement practice</x:v>
      </x:c>
      <x:c r="E12" s="44" t="n">
        <x:v>10</x:v>
      </x:c>
      <x:c r="F12" s="45"/>
      <x:c r="G12" s="46" t="b">
        <x:f aca="0">FALSE()</x:f>
        <x:v>0</x:v>
      </x:c>
      <x:c r="H12" s="76" t="n">
        <x:v>0.001388888888888889</x:v>
      </x:c>
      <x:c r="I12" s="76"/>
      <x:c r="J12" s="76"/>
      <x:c r="K12" s="76"/>
      <x:c r="L12" s="76"/>
      <x:c r="M12" s="75"/>
      <x:c r="N12" s="77" t="n">
        <x:v>2</x:v>
      </x:c>
      <x:c r="O12" s="77" t="n">
        <x:v>2</x:v>
      </x:c>
      <x:c r="P12" s="77" t="n">
        <x:v>2</x:v>
      </x:c>
      <x:c r="Q12" s="77"/>
      <x:c r="R12" s="77"/>
      <x:c r="S12" s="75"/>
      <x:c r="T12" s="76" t="n">
        <x:v>0.0002314814814814815</x:v>
      </x:c>
      <x:c r="U12" s="76" t="n">
        <x:v>0.0002314814814814815</x:v>
      </x:c>
      <x:c r="V12" s="76" t="n">
        <x:v>0.0002314814814814815</x:v>
      </x:c>
      <x:c r="W12" s="76"/>
      <x:c r="X12" s="76"/>
      <x:c r="Y12" s="75"/>
      <x:c r="Z12" s="74"/>
      <x:c r="AA12" s="74"/>
      <x:c r="AB12" s="74"/>
      <x:c r="AC12" s="74"/>
      <x:c r="AD12" s="74"/>
      <x:c r="AE12" s="75"/>
      <x:c r="AF12" s="74"/>
      <x:c r="AG12" s="74"/>
      <x:c r="AH12" s="74"/>
      <x:c r="AI12" s="74"/>
      <x:c r="AJ12" s="74"/>
      <x:c r="AK12" s="75"/>
      <x:c r="AL12" s="75"/>
      <x:c r="AM12" s="50"/>
      <x:c r="AN12" s="51" t="s">
        <x:v>118</x:v>
      </x:c>
      <x:c r="AO12" s="52">
        <x:f>Scoring!P44</x:f>
        <x:v>1</x:v>
      </x:c>
      <x:c r="AP12" s="53"/>
    </x:row>
    <x:row r="13" ht="135" hidden="0" customHeight="1">
      <x:c r="A13" s="32" t="n">
        <x:f aca="0">Strategy!$E$3+16</x:f>
        <x:v>46344.5</x:v>
      </x:c>
      <x:c r="B13" s="33" t="s">
        <x:v>48</x:v>
      </x:c>
      <x:c r="C13" s="83" t="str">
        <x:f>"Warm-up: 8 min. Rest: 2–3 min strength; 90 sec legs; 60–90 sec handstand walks. Leave 1–2 reps in reserve."&amp;CHAR(10)&amp;Strategy!I23</x:f>
        <x:v>Warm-up: 8 min. Rest: 2–3 min strength; 90 sec legs; 60–90 sec handstand walks. Leave 1–2 reps in reserve.
A) Handstand walk: 3 x 3 m
B) Elevated pike push-up: 4 x 8
C) Pull-up: 4 x 6
D) Box pistol: 4 x 5/leg
E) Bar row: 4 x 12</x:v>
      </x:c>
      <x:c r="D13" s="33" t="str">
        <x:v>Handstand movement and strength</x:v>
      </x:c>
      <x:c r="E13" s="33" t="n">
        <x:v>80</x:v>
      </x:c>
      <x:c r="F13" s="35"/>
      <x:c r="G13" s="36" t="b">
        <x:f aca="0">FALSE()</x:f>
        <x:v>0</x:v>
      </x:c>
      <x:c r="H13" s="78" t="n">
        <x:v>3</x:v>
      </x:c>
      <x:c r="I13" s="78" t="n">
        <x:v>3</x:v>
      </x:c>
      <x:c r="J13" s="78" t="n">
        <x:v>3</x:v>
      </x:c>
      <x:c r="K13" s="78"/>
      <x:c r="L13" s="78"/>
      <x:c r="M13" s="73"/>
      <x:c r="N13" s="72" t="n">
        <x:v>8</x:v>
      </x:c>
      <x:c r="O13" s="72" t="n">
        <x:v>8</x:v>
      </x:c>
      <x:c r="P13" s="72" t="n">
        <x:v>8</x:v>
      </x:c>
      <x:c r="Q13" s="72" t="n">
        <x:v>8</x:v>
      </x:c>
      <x:c r="R13" s="72"/>
      <x:c r="S13" s="73"/>
      <x:c r="T13" s="72" t="n">
        <x:v>6</x:v>
      </x:c>
      <x:c r="U13" s="72" t="n">
        <x:v>6</x:v>
      </x:c>
      <x:c r="V13" s="72" t="n">
        <x:v>6</x:v>
      </x:c>
      <x:c r="W13" s="72" t="n">
        <x:v>6</x:v>
      </x:c>
      <x:c r="X13" s="72"/>
      <x:c r="Y13" s="73"/>
      <x:c r="Z13" s="72" t="n">
        <x:v>5</x:v>
      </x:c>
      <x:c r="AA13" s="72" t="n">
        <x:v>5</x:v>
      </x:c>
      <x:c r="AB13" s="72" t="n">
        <x:v>5</x:v>
      </x:c>
      <x:c r="AC13" s="72" t="n">
        <x:v>5</x:v>
      </x:c>
      <x:c r="AD13" s="72"/>
      <x:c r="AE13" s="73"/>
      <x:c r="AF13" s="72" t="n">
        <x:v>12</x:v>
      </x:c>
      <x:c r="AG13" s="72" t="n">
        <x:v>12</x:v>
      </x:c>
      <x:c r="AH13" s="72" t="n">
        <x:v>12</x:v>
      </x:c>
      <x:c r="AI13" s="72" t="n">
        <x:v>12</x:v>
      </x:c>
      <x:c r="AJ13" s="72"/>
      <x:c r="AK13" s="73"/>
      <x:c r="AL13" s="73"/>
      <x:c r="AM13" s="39"/>
      <x:c r="AN13" s="40" t="s">
        <x:v>118</x:v>
      </x:c>
      <x:c r="AO13" s="41">
        <x:f>Scoring!P47</x:f>
        <x:v>3.8</x:v>
      </x:c>
      <x:c r="AP13" s="42"/>
    </x:row>
    <x:row r="14" ht="135" hidden="0" customHeight="1">
      <x:c r="A14" s="43" t="n">
        <x:f aca="0">Strategy!$E$3+18</x:f>
        <x:v>46346.5</x:v>
      </x:c>
      <x:c r="B14" s="44" t="s">
        <x:v>51</x:v>
      </x:c>
      <x:c r="C14" s="84" t="str">
        <x:v>Warm-up: 8 min. Rest: 2–3 min strength; 90 sec legs; 60–90 sec handstand walks. Leave 1–2 reps in reserve.
A) Low-bar transition: 4 x 3
B) Handstand walk: 4 x 3 m
C) Straight-bar dip: 4 x 8
D) Elevated pike push-up: 4 x 8
Cal-Intervals: 5 rounds
Circuit: pull / Mike Tyson push-ups / squat / hanging core. 30 sec work + 20 sec rest.</x:v>
      </x:c>
      <x:c r="D14" s="44" t="str">
        <x:v>Muscle-up movement + Cal-Intervals</x:v>
      </x:c>
      <x:c r="E14" s="44" t="n">
        <x:v>85</x:v>
      </x:c>
      <x:c r="F14" s="45"/>
      <x:c r="G14" s="46" t="b">
        <x:f aca="0">FALSE()</x:f>
        <x:v>0</x:v>
      </x:c>
      <x:c r="H14" s="74" t="n">
        <x:v>3</x:v>
      </x:c>
      <x:c r="I14" s="74" t="n">
        <x:v>3</x:v>
      </x:c>
      <x:c r="J14" s="74" t="n">
        <x:v>3</x:v>
      </x:c>
      <x:c r="K14" s="74" t="n">
        <x:v>3</x:v>
      </x:c>
      <x:c r="L14" s="74"/>
      <x:c r="M14" s="75"/>
      <x:c r="N14" s="77" t="n">
        <x:v>3</x:v>
      </x:c>
      <x:c r="O14" s="77" t="n">
        <x:v>3</x:v>
      </x:c>
      <x:c r="P14" s="77" t="n">
        <x:v>3</x:v>
      </x:c>
      <x:c r="Q14" s="77" t="n">
        <x:v>3</x:v>
      </x:c>
      <x:c r="R14" s="77"/>
      <x:c r="S14" s="75"/>
      <x:c r="T14" s="74" t="n">
        <x:v>8</x:v>
      </x:c>
      <x:c r="U14" s="74" t="n">
        <x:v>8</x:v>
      </x:c>
      <x:c r="V14" s="74" t="n">
        <x:v>8</x:v>
      </x:c>
      <x:c r="W14" s="74" t="n">
        <x:v>8</x:v>
      </x:c>
      <x:c r="X14" s="74"/>
      <x:c r="Y14" s="75"/>
      <x:c r="Z14" s="74" t="n">
        <x:v>8</x:v>
      </x:c>
      <x:c r="AA14" s="74" t="n">
        <x:v>8</x:v>
      </x:c>
      <x:c r="AB14" s="74" t="n">
        <x:v>8</x:v>
      </x:c>
      <x:c r="AC14" s="74" t="n">
        <x:v>8</x:v>
      </x:c>
      <x:c r="AD14" s="74"/>
      <x:c r="AE14" s="75"/>
      <x:c r="AF14" s="74"/>
      <x:c r="AG14" s="74"/>
      <x:c r="AH14" s="74"/>
      <x:c r="AI14" s="74"/>
      <x:c r="AJ14" s="74"/>
      <x:c r="AK14" s="75"/>
      <x:c r="AL14" s="75" t="n">
        <x:v>5</x:v>
      </x:c>
      <x:c r="AM14" s="50"/>
      <x:c r="AN14" s="51" t="s">
        <x:v>118</x:v>
      </x:c>
      <x:c r="AO14" s="52">
        <x:f>Scoring!P52</x:f>
        <x:v>4.4</x:v>
      </x:c>
      <x:c r="AP14" s="53"/>
    </x:row>
    <x:row r="15" ht="135" hidden="0" customHeight="1">
      <x:c r="A15" s="32" t="n">
        <x:f aca="0">Strategy!$E$3+21</x:f>
        <x:v>46349.5</x:v>
      </x:c>
      <x:c r="B15" s="33" t="s">
        <x:v>45</x:v>
      </x:c>
      <x:c r="C15" s="83" t="str">
        <x:f>"Warm-up: 8 min. Rest: 2–3 min strength; 90 sec legs; 60–90 sec handstand walks. Easy sets."&amp;CHAR(10)&amp;Strategy!H24</x:f>
        <x:v>Warm-up: 8 min. Rest: 2–3 min strength; 90 sec legs; 60–90 sec handstand walks. Easy sets.
A) High pull: 2 x 3
B) Pull-up: 2 x 6
C) Parallel-bar dip: 2 x 12
D) Box pistol: 2 x 5/leg
E) Sliding hamstring curl: 2 x 10</x:v>
      </x:c>
      <x:c r="D15" s="33" t="str">
        <x:v>Pull and muscle-up strength</x:v>
      </x:c>
      <x:c r="E15" s="33" t="n">
        <x:v>45</x:v>
      </x:c>
      <x:c r="F15" s="35"/>
      <x:c r="G15" s="36" t="b">
        <x:f aca="0">FALSE()</x:f>
        <x:v>0</x:v>
      </x:c>
      <x:c r="H15" s="72" t="n">
        <x:v>3</x:v>
      </x:c>
      <x:c r="I15" s="72" t="n">
        <x:v>3</x:v>
      </x:c>
      <x:c r="J15" s="72"/>
      <x:c r="K15" s="72"/>
      <x:c r="L15" s="72"/>
      <x:c r="M15" s="73"/>
      <x:c r="N15" s="72" t="n">
        <x:v>6</x:v>
      </x:c>
      <x:c r="O15" s="72" t="n">
        <x:v>6</x:v>
      </x:c>
      <x:c r="P15" s="72"/>
      <x:c r="Q15" s="72"/>
      <x:c r="R15" s="72"/>
      <x:c r="S15" s="73"/>
      <x:c r="T15" s="72" t="n">
        <x:v>12</x:v>
      </x:c>
      <x:c r="U15" s="72" t="n">
        <x:v>12</x:v>
      </x:c>
      <x:c r="V15" s="72"/>
      <x:c r="W15" s="72"/>
      <x:c r="X15" s="72"/>
      <x:c r="Y15" s="73"/>
      <x:c r="Z15" s="72" t="n">
        <x:v>5</x:v>
      </x:c>
      <x:c r="AA15" s="72" t="n">
        <x:v>5</x:v>
      </x:c>
      <x:c r="AB15" s="72"/>
      <x:c r="AC15" s="72"/>
      <x:c r="AD15" s="72"/>
      <x:c r="AE15" s="73"/>
      <x:c r="AF15" s="72" t="n">
        <x:v>10</x:v>
      </x:c>
      <x:c r="AG15" s="72" t="n">
        <x:v>10</x:v>
      </x:c>
      <x:c r="AH15" s="72"/>
      <x:c r="AI15" s="72"/>
      <x:c r="AJ15" s="72"/>
      <x:c r="AK15" s="73"/>
      <x:c r="AL15" s="73"/>
      <x:c r="AM15" s="39"/>
      <x:c r="AN15" s="40" t="s">
        <x:v>118</x:v>
      </x:c>
      <x:c r="AO15" s="41">
        <x:f>Scoring!P57</x:f>
        <x:v>4</x:v>
      </x:c>
      <x:c r="AP15" s="42"/>
    </x:row>
    <x:row r="16" ht="80" hidden="0" customHeight="1">
      <x:c r="A16" s="43" t="n">
        <x:f aca="0">Strategy!$E$3+22</x:f>
        <x:v>46350.5</x:v>
      </x:c>
      <x:c r="B16" s="44" t="s">
        <x:v>51</x:v>
      </x:c>
      <x:c r="C16" s="84" t="str">
        <x:v>Easy movement; rest 60 sec.
A) Wrist/shoulder mobility: 1 x 120 sec
B) Easy handstand walk: 3 x 2 m
C) Easy bear crawl: 3 x 20 sec</x:v>
      </x:c>
      <x:c r="D16" s="44" t="str">
        <x:v>Optional movement practice</x:v>
      </x:c>
      <x:c r="E16" s="44" t="n">
        <x:v>10</x:v>
      </x:c>
      <x:c r="F16" s="45"/>
      <x:c r="G16" s="46" t="b">
        <x:f aca="0">FALSE()</x:f>
        <x:v>0</x:v>
      </x:c>
      <x:c r="H16" s="76" t="n">
        <x:v>0.001388888888888889</x:v>
      </x:c>
      <x:c r="I16" s="76"/>
      <x:c r="J16" s="76"/>
      <x:c r="K16" s="76"/>
      <x:c r="L16" s="76"/>
      <x:c r="M16" s="75"/>
      <x:c r="N16" s="77" t="n">
        <x:v>2</x:v>
      </x:c>
      <x:c r="O16" s="77" t="n">
        <x:v>2</x:v>
      </x:c>
      <x:c r="P16" s="77" t="n">
        <x:v>2</x:v>
      </x:c>
      <x:c r="Q16" s="77"/>
      <x:c r="R16" s="77"/>
      <x:c r="S16" s="75"/>
      <x:c r="T16" s="76" t="n">
        <x:v>0.0002314814814814815</x:v>
      </x:c>
      <x:c r="U16" s="76" t="n">
        <x:v>0.0002314814814814815</x:v>
      </x:c>
      <x:c r="V16" s="76" t="n">
        <x:v>0.0002314814814814815</x:v>
      </x:c>
      <x:c r="W16" s="76"/>
      <x:c r="X16" s="76"/>
      <x:c r="Y16" s="75"/>
      <x:c r="Z16" s="74"/>
      <x:c r="AA16" s="74"/>
      <x:c r="AB16" s="74"/>
      <x:c r="AC16" s="74"/>
      <x:c r="AD16" s="74"/>
      <x:c r="AE16" s="75"/>
      <x:c r="AF16" s="74"/>
      <x:c r="AG16" s="74"/>
      <x:c r="AH16" s="74"/>
      <x:c r="AI16" s="74"/>
      <x:c r="AJ16" s="74"/>
      <x:c r="AK16" s="75"/>
      <x:c r="AL16" s="75"/>
      <x:c r="AM16" s="50"/>
      <x:c r="AN16" s="51" t="s">
        <x:v>118</x:v>
      </x:c>
      <x:c r="AO16" s="52">
        <x:f>Scoring!P62</x:f>
        <x:v>1</x:v>
      </x:c>
      <x:c r="AP16" s="53"/>
    </x:row>
    <x:row r="17" ht="135" hidden="0" customHeight="1">
      <x:c r="A17" s="32" t="n">
        <x:f aca="0">Strategy!$E$3+23</x:f>
        <x:v>46351.5</x:v>
      </x:c>
      <x:c r="B17" s="33" t="s">
        <x:v>48</x:v>
      </x:c>
      <x:c r="C17" s="83" t="str">
        <x:f>"Warm-up: 8 min. Rest: 2–3 min strength; 90 sec legs; 60–90 sec handstand walks. Easy sets."&amp;CHAR(10)&amp;Strategy!I24</x:f>
        <x:v>Warm-up: 8 min. Rest: 2–3 min strength; 90 sec legs; 60–90 sec handstand walks. Easy sets.
A) Handstand walk: 2 x 3 m
B) Elevated pike push-up: 2 x 8
C) Pull-up: 2 x 6
D) Box pistol: 2 x 5/leg
E) Bar row: 2 x 12</x:v>
      </x:c>
      <x:c r="D17" s="33" t="str">
        <x:v>Handstand movement and strength</x:v>
      </x:c>
      <x:c r="E17" s="33" t="n">
        <x:v>45</x:v>
      </x:c>
      <x:c r="F17" s="35"/>
      <x:c r="G17" s="36" t="b">
        <x:f aca="0">FALSE()</x:f>
        <x:v>0</x:v>
      </x:c>
      <x:c r="H17" s="78" t="n">
        <x:v>3</x:v>
      </x:c>
      <x:c r="I17" s="78" t="n">
        <x:v>3</x:v>
      </x:c>
      <x:c r="J17" s="78"/>
      <x:c r="K17" s="78"/>
      <x:c r="L17" s="78"/>
      <x:c r="M17" s="73"/>
      <x:c r="N17" s="72" t="n">
        <x:v>8</x:v>
      </x:c>
      <x:c r="O17" s="72" t="n">
        <x:v>8</x:v>
      </x:c>
      <x:c r="P17" s="72"/>
      <x:c r="Q17" s="72"/>
      <x:c r="R17" s="72"/>
      <x:c r="S17" s="73"/>
      <x:c r="T17" s="72" t="n">
        <x:v>6</x:v>
      </x:c>
      <x:c r="U17" s="72" t="n">
        <x:v>6</x:v>
      </x:c>
      <x:c r="V17" s="72"/>
      <x:c r="W17" s="72"/>
      <x:c r="X17" s="72"/>
      <x:c r="Y17" s="73"/>
      <x:c r="Z17" s="72" t="n">
        <x:v>5</x:v>
      </x:c>
      <x:c r="AA17" s="72" t="n">
        <x:v>5</x:v>
      </x:c>
      <x:c r="AB17" s="72"/>
      <x:c r="AC17" s="72"/>
      <x:c r="AD17" s="72"/>
      <x:c r="AE17" s="73"/>
      <x:c r="AF17" s="72" t="n">
        <x:v>12</x:v>
      </x:c>
      <x:c r="AG17" s="72" t="n">
        <x:v>12</x:v>
      </x:c>
      <x:c r="AH17" s="72"/>
      <x:c r="AI17" s="72"/>
      <x:c r="AJ17" s="72"/>
      <x:c r="AK17" s="73"/>
      <x:c r="AL17" s="73"/>
      <x:c r="AM17" s="39"/>
      <x:c r="AN17" s="40" t="s">
        <x:v>118</x:v>
      </x:c>
      <x:c r="AO17" s="41">
        <x:f>Scoring!P65</x:f>
        <x:v>3.8</x:v>
      </x:c>
      <x:c r="AP17" s="42"/>
    </x:row>
    <x:row r="18" ht="135" hidden="0" customHeight="1">
      <x:c r="A18" s="43" t="n">
        <x:f aca="0">Strategy!$E$3+25</x:f>
        <x:v>46353.5</x:v>
      </x:c>
      <x:c r="B18" s="44" t="s">
        <x:v>51</x:v>
      </x:c>
      <x:c r="C18" s="84" t="str">
        <x:v>Warm-up: 8 min. Rest: 2–3 min strength; 90 sec legs; 60–90 sec handstand walks. Easy sets.
A) Low-bar transition: 2 x 3
B) Handstand walk: 2 x 3 m
C) Straight-bar dip: 2 x 8
D) Elevated pike push-up: 2 x 8
Cal-Intervals: 3 rounds
Circuit: pull / Mike Tyson push-ups / squat / hanging core. 30 sec work + 20 sec rest.</x:v>
      </x:c>
      <x:c r="D18" s="44" t="str">
        <x:v>Muscle-up movement + Cal-Intervals</x:v>
      </x:c>
      <x:c r="E18" s="44" t="n">
        <x:v>50</x:v>
      </x:c>
      <x:c r="F18" s="45"/>
      <x:c r="G18" s="46" t="b">
        <x:f aca="0">FALSE()</x:f>
        <x:v>0</x:v>
      </x:c>
      <x:c r="H18" s="74" t="n">
        <x:v>3</x:v>
      </x:c>
      <x:c r="I18" s="74" t="n">
        <x:v>3</x:v>
      </x:c>
      <x:c r="J18" s="74"/>
      <x:c r="K18" s="74"/>
      <x:c r="L18" s="74"/>
      <x:c r="M18" s="75"/>
      <x:c r="N18" s="77" t="n">
        <x:v>3</x:v>
      </x:c>
      <x:c r="O18" s="77" t="n">
        <x:v>3</x:v>
      </x:c>
      <x:c r="P18" s="77"/>
      <x:c r="Q18" s="77"/>
      <x:c r="R18" s="77"/>
      <x:c r="S18" s="75"/>
      <x:c r="T18" s="74" t="n">
        <x:v>8</x:v>
      </x:c>
      <x:c r="U18" s="74" t="n">
        <x:v>8</x:v>
      </x:c>
      <x:c r="V18" s="74"/>
      <x:c r="W18" s="74"/>
      <x:c r="X18" s="74"/>
      <x:c r="Y18" s="75"/>
      <x:c r="Z18" s="74" t="n">
        <x:v>8</x:v>
      </x:c>
      <x:c r="AA18" s="74" t="n">
        <x:v>8</x:v>
      </x:c>
      <x:c r="AB18" s="74"/>
      <x:c r="AC18" s="74"/>
      <x:c r="AD18" s="74"/>
      <x:c r="AE18" s="75"/>
      <x:c r="AF18" s="74"/>
      <x:c r="AG18" s="74"/>
      <x:c r="AH18" s="74"/>
      <x:c r="AI18" s="74"/>
      <x:c r="AJ18" s="74"/>
      <x:c r="AK18" s="75"/>
      <x:c r="AL18" s="75" t="n">
        <x:v>3</x:v>
      </x:c>
      <x:c r="AM18" s="50"/>
      <x:c r="AN18" s="51" t="s">
        <x:v>118</x:v>
      </x:c>
      <x:c r="AO18" s="52">
        <x:f>Scoring!P70</x:f>
        <x:v>4.5</x:v>
      </x:c>
      <x:c r="AP18" s="53"/>
    </x:row>
    <x:row r="19" ht="135" hidden="0" customHeight="1">
      <x:c r="A19" s="32" t="n">
        <x:f aca="0">Strategy!$E$3+28</x:f>
        <x:v>46356.5</x:v>
      </x:c>
      <x:c r="B19" s="33" t="s">
        <x:v>45</x:v>
      </x:c>
      <x:c r="C19" s="83" t="str">
        <x:f>"Warm-up: 8 min. Rest: 2–3 min strength; 90 sec legs; 60–90 sec handstand walks. Leave 1–2 reps in reserve."&amp;CHAR(10)&amp;Strategy!H25</x:f>
        <x:v>Warm-up: 8 min. Rest: 2–3 min strength; 90 sec legs; 60–90 sec handstand walks. Leave 1–2 reps in reserve.
A) High pull: 4 x 3
B) Pull-up: 4 x 6
C) Parallel-bar dip: 4 x 12
D) Box pistol: 4 x 5/leg
E) Sliding hamstring curl: 3 x 10</x:v>
      </x:c>
      <x:c r="D19" s="33" t="str">
        <x:v>Pull and muscle-up strength</x:v>
      </x:c>
      <x:c r="E19" s="33" t="n">
        <x:v>80</x:v>
      </x:c>
      <x:c r="F19" s="35"/>
      <x:c r="G19" s="36" t="b">
        <x:f aca="0">FALSE()</x:f>
        <x:v>0</x:v>
      </x:c>
      <x:c r="H19" s="72" t="n">
        <x:v>3</x:v>
      </x:c>
      <x:c r="I19" s="72" t="n">
        <x:v>3</x:v>
      </x:c>
      <x:c r="J19" s="72" t="n">
        <x:v>3</x:v>
      </x:c>
      <x:c r="K19" s="72" t="n">
        <x:v>3</x:v>
      </x:c>
      <x:c r="L19" s="72"/>
      <x:c r="M19" s="73"/>
      <x:c r="N19" s="72" t="n">
        <x:v>6</x:v>
      </x:c>
      <x:c r="O19" s="72" t="n">
        <x:v>6</x:v>
      </x:c>
      <x:c r="P19" s="72" t="n">
        <x:v>6</x:v>
      </x:c>
      <x:c r="Q19" s="72" t="n">
        <x:v>6</x:v>
      </x:c>
      <x:c r="R19" s="72"/>
      <x:c r="S19" s="73"/>
      <x:c r="T19" s="72" t="n">
        <x:v>12</x:v>
      </x:c>
      <x:c r="U19" s="72" t="n">
        <x:v>12</x:v>
      </x:c>
      <x:c r="V19" s="72" t="n">
        <x:v>12</x:v>
      </x:c>
      <x:c r="W19" s="72" t="n">
        <x:v>12</x:v>
      </x:c>
      <x:c r="X19" s="72"/>
      <x:c r="Y19" s="73"/>
      <x:c r="Z19" s="72" t="n">
        <x:v>5</x:v>
      </x:c>
      <x:c r="AA19" s="72" t="n">
        <x:v>5</x:v>
      </x:c>
      <x:c r="AB19" s="72" t="n">
        <x:v>5</x:v>
      </x:c>
      <x:c r="AC19" s="72" t="n">
        <x:v>5</x:v>
      </x:c>
      <x:c r="AD19" s="72"/>
      <x:c r="AE19" s="73"/>
      <x:c r="AF19" s="72" t="n">
        <x:v>10</x:v>
      </x:c>
      <x:c r="AG19" s="72" t="n">
        <x:v>10</x:v>
      </x:c>
      <x:c r="AH19" s="72" t="n">
        <x:v>10</x:v>
      </x:c>
      <x:c r="AI19" s="72"/>
      <x:c r="AJ19" s="72"/>
      <x:c r="AK19" s="73"/>
      <x:c r="AL19" s="73"/>
      <x:c r="AM19" s="39"/>
      <x:c r="AN19" s="40" t="s">
        <x:v>118</x:v>
      </x:c>
      <x:c r="AO19" s="41">
        <x:f>Scoring!P75</x:f>
        <x:v>4</x:v>
      </x:c>
      <x:c r="AP19" s="42"/>
    </x:row>
    <x:row r="20" ht="80" hidden="0" customHeight="1">
      <x:c r="A20" s="43" t="n">
        <x:f aca="0">Strategy!$E$3+29</x:f>
        <x:v>46357.5</x:v>
      </x:c>
      <x:c r="B20" s="44" t="s">
        <x:v>51</x:v>
      </x:c>
      <x:c r="C20" s="84" t="str">
        <x:v>Easy movement; rest 60 sec.
A) Wrist/shoulder mobility: 1 x 120 sec
B) Easy handstand walk: 3 x 2 m
C) Easy bear crawl: 3 x 20 sec</x:v>
      </x:c>
      <x:c r="D20" s="44" t="str">
        <x:v>Optional movement practice</x:v>
      </x:c>
      <x:c r="E20" s="44" t="n">
        <x:v>10</x:v>
      </x:c>
      <x:c r="F20" s="45"/>
      <x:c r="G20" s="46" t="b">
        <x:f aca="0">FALSE()</x:f>
        <x:v>0</x:v>
      </x:c>
      <x:c r="H20" s="76" t="n">
        <x:v>0.001388888888888889</x:v>
      </x:c>
      <x:c r="I20" s="76"/>
      <x:c r="J20" s="76"/>
      <x:c r="K20" s="76"/>
      <x:c r="L20" s="76"/>
      <x:c r="M20" s="75"/>
      <x:c r="N20" s="77" t="n">
        <x:v>2</x:v>
      </x:c>
      <x:c r="O20" s="77" t="n">
        <x:v>2</x:v>
      </x:c>
      <x:c r="P20" s="77" t="n">
        <x:v>2</x:v>
      </x:c>
      <x:c r="Q20" s="77"/>
      <x:c r="R20" s="77"/>
      <x:c r="S20" s="75"/>
      <x:c r="T20" s="76" t="n">
        <x:v>0.0002314814814814815</x:v>
      </x:c>
      <x:c r="U20" s="76" t="n">
        <x:v>0.0002314814814814815</x:v>
      </x:c>
      <x:c r="V20" s="76" t="n">
        <x:v>0.0002314814814814815</x:v>
      </x:c>
      <x:c r="W20" s="76"/>
      <x:c r="X20" s="76"/>
      <x:c r="Y20" s="75"/>
      <x:c r="Z20" s="74"/>
      <x:c r="AA20" s="74"/>
      <x:c r="AB20" s="74"/>
      <x:c r="AC20" s="74"/>
      <x:c r="AD20" s="74"/>
      <x:c r="AE20" s="75"/>
      <x:c r="AF20" s="74"/>
      <x:c r="AG20" s="74"/>
      <x:c r="AH20" s="74"/>
      <x:c r="AI20" s="74"/>
      <x:c r="AJ20" s="74"/>
      <x:c r="AK20" s="75"/>
      <x:c r="AL20" s="75"/>
      <x:c r="AM20" s="50"/>
      <x:c r="AN20" s="51" t="s">
        <x:v>118</x:v>
      </x:c>
      <x:c r="AO20" s="52">
        <x:f>Scoring!P80</x:f>
        <x:v>1</x:v>
      </x:c>
      <x:c r="AP20" s="53"/>
    </x:row>
    <x:row r="21" ht="135" hidden="0" customHeight="1">
      <x:c r="A21" s="32" t="n">
        <x:f aca="0">Strategy!$E$3+30</x:f>
        <x:v>46358.5</x:v>
      </x:c>
      <x:c r="B21" s="33" t="s">
        <x:v>48</x:v>
      </x:c>
      <x:c r="C21" s="83" t="str">
        <x:f>"Warm-up: 8 min. Rest: 2–3 min strength; 90 sec legs; 60–90 sec handstand walks. Leave 1–2 reps in reserve."&amp;CHAR(10)&amp;Strategy!I25</x:f>
        <x:v>Warm-up: 8 min. Rest: 2–3 min strength; 90 sec legs; 60–90 sec handstand walks. Leave 1–2 reps in reserve.
A) Handstand walk: 3 x 3 m
B) Elevated pike push-up: 4 x 8
C) Pull-up: 4 x 6
D) Box pistol: 4 x 5/leg
E) Bar row: 4 x 12</x:v>
      </x:c>
      <x:c r="D21" s="33" t="str">
        <x:v>Handstand movement and strength</x:v>
      </x:c>
      <x:c r="E21" s="33" t="n">
        <x:v>80</x:v>
      </x:c>
      <x:c r="F21" s="35"/>
      <x:c r="G21" s="36" t="b">
        <x:f aca="0">FALSE()</x:f>
        <x:v>0</x:v>
      </x:c>
      <x:c r="H21" s="78" t="n">
        <x:v>3</x:v>
      </x:c>
      <x:c r="I21" s="78" t="n">
        <x:v>3</x:v>
      </x:c>
      <x:c r="J21" s="78" t="n">
        <x:v>3</x:v>
      </x:c>
      <x:c r="K21" s="78"/>
      <x:c r="L21" s="78"/>
      <x:c r="M21" s="73"/>
      <x:c r="N21" s="72" t="n">
        <x:v>8</x:v>
      </x:c>
      <x:c r="O21" s="72" t="n">
        <x:v>8</x:v>
      </x:c>
      <x:c r="P21" s="72" t="n">
        <x:v>8</x:v>
      </x:c>
      <x:c r="Q21" s="72" t="n">
        <x:v>8</x:v>
      </x:c>
      <x:c r="R21" s="72"/>
      <x:c r="S21" s="73"/>
      <x:c r="T21" s="72" t="n">
        <x:v>6</x:v>
      </x:c>
      <x:c r="U21" s="72" t="n">
        <x:v>6</x:v>
      </x:c>
      <x:c r="V21" s="72" t="n">
        <x:v>6</x:v>
      </x:c>
      <x:c r="W21" s="72" t="n">
        <x:v>6</x:v>
      </x:c>
      <x:c r="X21" s="72"/>
      <x:c r="Y21" s="73"/>
      <x:c r="Z21" s="72" t="n">
        <x:v>5</x:v>
      </x:c>
      <x:c r="AA21" s="72" t="n">
        <x:v>5</x:v>
      </x:c>
      <x:c r="AB21" s="72" t="n">
        <x:v>5</x:v>
      </x:c>
      <x:c r="AC21" s="72" t="n">
        <x:v>5</x:v>
      </x:c>
      <x:c r="AD21" s="72"/>
      <x:c r="AE21" s="73"/>
      <x:c r="AF21" s="72" t="n">
        <x:v>12</x:v>
      </x:c>
      <x:c r="AG21" s="72" t="n">
        <x:v>12</x:v>
      </x:c>
      <x:c r="AH21" s="72" t="n">
        <x:v>12</x:v>
      </x:c>
      <x:c r="AI21" s="72" t="n">
        <x:v>12</x:v>
      </x:c>
      <x:c r="AJ21" s="72"/>
      <x:c r="AK21" s="73"/>
      <x:c r="AL21" s="73"/>
      <x:c r="AM21" s="39"/>
      <x:c r="AN21" s="40" t="s">
        <x:v>118</x:v>
      </x:c>
      <x:c r="AO21" s="41">
        <x:f>Scoring!P83</x:f>
        <x:v>3.8</x:v>
      </x:c>
      <x:c r="AP21" s="42"/>
    </x:row>
    <x:row r="22" ht="135" hidden="0" customHeight="1">
      <x:c r="A22" s="43" t="n">
        <x:f aca="0">Strategy!$E$3+32</x:f>
        <x:v>46360.5</x:v>
      </x:c>
      <x:c r="B22" s="44" t="s">
        <x:v>51</x:v>
      </x:c>
      <x:c r="C22" s="84" t="str">
        <x:v>Warm-up: 8 min. Rest: 2–3 min strength; 90 sec legs; 60–90 sec handstand walks. Leave 1–2 reps in reserve.
A) Low-bar transition: 4 x 3
B) Handstand walk: 4 x 3 m
C) Straight-bar dip: 4 x 8
D) Elevated pike push-up: 4 x 8
Cal-Intervals: 5 rounds
Circuit: pull / Mike Tyson push-ups / squat / hanging core. 30 sec work + 20 sec rest.</x:v>
      </x:c>
      <x:c r="D22" s="44" t="str">
        <x:v>Muscle-up movement + Cal-Intervals</x:v>
      </x:c>
      <x:c r="E22" s="44" t="n">
        <x:v>85</x:v>
      </x:c>
      <x:c r="F22" s="45"/>
      <x:c r="G22" s="46" t="b">
        <x:f aca="0">FALSE()</x:f>
        <x:v>0</x:v>
      </x:c>
      <x:c r="H22" s="74" t="n">
        <x:v>3</x:v>
      </x:c>
      <x:c r="I22" s="74" t="n">
        <x:v>3</x:v>
      </x:c>
      <x:c r="J22" s="74" t="n">
        <x:v>3</x:v>
      </x:c>
      <x:c r="K22" s="74" t="n">
        <x:v>3</x:v>
      </x:c>
      <x:c r="L22" s="74"/>
      <x:c r="M22" s="75"/>
      <x:c r="N22" s="77" t="n">
        <x:v>3</x:v>
      </x:c>
      <x:c r="O22" s="77" t="n">
        <x:v>3</x:v>
      </x:c>
      <x:c r="P22" s="77" t="n">
        <x:v>3</x:v>
      </x:c>
      <x:c r="Q22" s="77" t="n">
        <x:v>3</x:v>
      </x:c>
      <x:c r="R22" s="77"/>
      <x:c r="S22" s="75"/>
      <x:c r="T22" s="74" t="n">
        <x:v>8</x:v>
      </x:c>
      <x:c r="U22" s="74" t="n">
        <x:v>8</x:v>
      </x:c>
      <x:c r="V22" s="74" t="n">
        <x:v>8</x:v>
      </x:c>
      <x:c r="W22" s="74" t="n">
        <x:v>8</x:v>
      </x:c>
      <x:c r="X22" s="74"/>
      <x:c r="Y22" s="75"/>
      <x:c r="Z22" s="74" t="n">
        <x:v>8</x:v>
      </x:c>
      <x:c r="AA22" s="74" t="n">
        <x:v>8</x:v>
      </x:c>
      <x:c r="AB22" s="74" t="n">
        <x:v>8</x:v>
      </x:c>
      <x:c r="AC22" s="74" t="n">
        <x:v>8</x:v>
      </x:c>
      <x:c r="AD22" s="74"/>
      <x:c r="AE22" s="75"/>
      <x:c r="AF22" s="74"/>
      <x:c r="AG22" s="74"/>
      <x:c r="AH22" s="74"/>
      <x:c r="AI22" s="74"/>
      <x:c r="AJ22" s="74"/>
      <x:c r="AK22" s="75"/>
      <x:c r="AL22" s="75" t="n">
        <x:v>5</x:v>
      </x:c>
      <x:c r="AM22" s="50"/>
      <x:c r="AN22" s="51" t="s">
        <x:v>118</x:v>
      </x:c>
      <x:c r="AO22" s="52">
        <x:f>Scoring!P88</x:f>
        <x:v>4.4</x:v>
      </x:c>
      <x:c r="AP22" s="53"/>
    </x:row>
    <x:row r="23" ht="135" hidden="0" customHeight="1">
      <x:c r="A23" s="32" t="n">
        <x:f aca="0">Strategy!$E$3+35</x:f>
        <x:v>46363.5</x:v>
      </x:c>
      <x:c r="B23" s="33" t="s">
        <x:v>45</x:v>
      </x:c>
      <x:c r="C23" s="83" t="str">
        <x:f>"Warm-up: 8 min. Rest: 2–3 min strength; 90 sec legs; 60–90 sec handstand walks. Leave 1–2 reps in reserve."&amp;CHAR(10)&amp;Strategy!H26</x:f>
        <x:v>Warm-up: 8 min. Rest: 2–3 min strength; 90 sec legs; 60–90 sec handstand walks. Leave 1–2 reps in reserve.
A) High pull: 4 x 3
B) Pull-up: 4 x 6
C) Parallel-bar dip: 4 x 12
D) Box pistol: 4 x 5/leg
E) Sliding hamstring curl: 3 x 10</x:v>
      </x:c>
      <x:c r="D23" s="33" t="str">
        <x:v>Pull and muscle-up strength</x:v>
      </x:c>
      <x:c r="E23" s="33" t="n">
        <x:v>80</x:v>
      </x:c>
      <x:c r="F23" s="35"/>
      <x:c r="G23" s="36" t="b">
        <x:f aca="0">FALSE()</x:f>
        <x:v>0</x:v>
      </x:c>
      <x:c r="H23" s="72" t="n">
        <x:v>3</x:v>
      </x:c>
      <x:c r="I23" s="72" t="n">
        <x:v>3</x:v>
      </x:c>
      <x:c r="J23" s="72" t="n">
        <x:v>3</x:v>
      </x:c>
      <x:c r="K23" s="72" t="n">
        <x:v>3</x:v>
      </x:c>
      <x:c r="L23" s="72"/>
      <x:c r="M23" s="73"/>
      <x:c r="N23" s="72" t="n">
        <x:v>6</x:v>
      </x:c>
      <x:c r="O23" s="72" t="n">
        <x:v>6</x:v>
      </x:c>
      <x:c r="P23" s="72" t="n">
        <x:v>6</x:v>
      </x:c>
      <x:c r="Q23" s="72" t="n">
        <x:v>6</x:v>
      </x:c>
      <x:c r="R23" s="72"/>
      <x:c r="S23" s="73"/>
      <x:c r="T23" s="72" t="n">
        <x:v>12</x:v>
      </x:c>
      <x:c r="U23" s="72" t="n">
        <x:v>12</x:v>
      </x:c>
      <x:c r="V23" s="72" t="n">
        <x:v>12</x:v>
      </x:c>
      <x:c r="W23" s="72" t="n">
        <x:v>12</x:v>
      </x:c>
      <x:c r="X23" s="72"/>
      <x:c r="Y23" s="73"/>
      <x:c r="Z23" s="72" t="n">
        <x:v>5</x:v>
      </x:c>
      <x:c r="AA23" s="72" t="n">
        <x:v>5</x:v>
      </x:c>
      <x:c r="AB23" s="72" t="n">
        <x:v>5</x:v>
      </x:c>
      <x:c r="AC23" s="72" t="n">
        <x:v>5</x:v>
      </x:c>
      <x:c r="AD23" s="72"/>
      <x:c r="AE23" s="73"/>
      <x:c r="AF23" s="72" t="n">
        <x:v>10</x:v>
      </x:c>
      <x:c r="AG23" s="72" t="n">
        <x:v>10</x:v>
      </x:c>
      <x:c r="AH23" s="72" t="n">
        <x:v>10</x:v>
      </x:c>
      <x:c r="AI23" s="72"/>
      <x:c r="AJ23" s="72"/>
      <x:c r="AK23" s="73"/>
      <x:c r="AL23" s="73"/>
      <x:c r="AM23" s="39"/>
      <x:c r="AN23" s="40" t="s">
        <x:v>118</x:v>
      </x:c>
      <x:c r="AO23" s="41">
        <x:f>Scoring!P93</x:f>
        <x:v>4</x:v>
      </x:c>
      <x:c r="AP23" s="42"/>
    </x:row>
    <x:row r="24" ht="80" hidden="0" customHeight="1">
      <x:c r="A24" s="43" t="n">
        <x:f aca="0">Strategy!$E$3+36</x:f>
        <x:v>46364.5</x:v>
      </x:c>
      <x:c r="B24" s="44" t="s">
        <x:v>51</x:v>
      </x:c>
      <x:c r="C24" s="84" t="str">
        <x:v>Easy movement; rest 60 sec.
A) Wrist/shoulder mobility: 1 x 120 sec
B) Easy handstand walk: 3 x 2 m
C) Easy bear crawl: 3 x 20 sec</x:v>
      </x:c>
      <x:c r="D24" s="44" t="str">
        <x:v>Optional movement practice</x:v>
      </x:c>
      <x:c r="E24" s="44" t="n">
        <x:v>10</x:v>
      </x:c>
      <x:c r="F24" s="45"/>
      <x:c r="G24" s="46" t="b">
        <x:f aca="0">FALSE()</x:f>
        <x:v>0</x:v>
      </x:c>
      <x:c r="H24" s="76" t="n">
        <x:v>0.001388888888888889</x:v>
      </x:c>
      <x:c r="I24" s="76"/>
      <x:c r="J24" s="76"/>
      <x:c r="K24" s="76"/>
      <x:c r="L24" s="76"/>
      <x:c r="M24" s="75"/>
      <x:c r="N24" s="77" t="n">
        <x:v>2</x:v>
      </x:c>
      <x:c r="O24" s="77" t="n">
        <x:v>2</x:v>
      </x:c>
      <x:c r="P24" s="77" t="n">
        <x:v>2</x:v>
      </x:c>
      <x:c r="Q24" s="77"/>
      <x:c r="R24" s="77"/>
      <x:c r="S24" s="75"/>
      <x:c r="T24" s="76" t="n">
        <x:v>0.0002314814814814815</x:v>
      </x:c>
      <x:c r="U24" s="76" t="n">
        <x:v>0.0002314814814814815</x:v>
      </x:c>
      <x:c r="V24" s="76" t="n">
        <x:v>0.0002314814814814815</x:v>
      </x:c>
      <x:c r="W24" s="76"/>
      <x:c r="X24" s="76"/>
      <x:c r="Y24" s="75"/>
      <x:c r="Z24" s="74"/>
      <x:c r="AA24" s="74"/>
      <x:c r="AB24" s="74"/>
      <x:c r="AC24" s="74"/>
      <x:c r="AD24" s="74"/>
      <x:c r="AE24" s="75"/>
      <x:c r="AF24" s="74"/>
      <x:c r="AG24" s="74"/>
      <x:c r="AH24" s="74"/>
      <x:c r="AI24" s="74"/>
      <x:c r="AJ24" s="74"/>
      <x:c r="AK24" s="75"/>
      <x:c r="AL24" s="75"/>
      <x:c r="AM24" s="50"/>
      <x:c r="AN24" s="51" t="s">
        <x:v>118</x:v>
      </x:c>
      <x:c r="AO24" s="52">
        <x:f>Scoring!P98</x:f>
        <x:v>1</x:v>
      </x:c>
      <x:c r="AP24" s="53"/>
    </x:row>
    <x:row r="25" ht="135" hidden="0" customHeight="1">
      <x:c r="A25" s="32" t="n">
        <x:f aca="0">Strategy!$E$3+37</x:f>
        <x:v>46365.5</x:v>
      </x:c>
      <x:c r="B25" s="33" t="s">
        <x:v>48</x:v>
      </x:c>
      <x:c r="C25" s="83" t="str">
        <x:f>"Warm-up: 8 min. Rest: 2–3 min strength; 90 sec legs; 60–90 sec handstand walks. Leave 1–2 reps in reserve."&amp;CHAR(10)&amp;Strategy!I26</x:f>
        <x:v>Warm-up: 8 min. Rest: 2–3 min strength; 90 sec legs; 60–90 sec handstand walks. Leave 1–2 reps in reserve.
A) Handstand walk: 3 x 3 m
B) Elevated pike push-up: 4 x 8
C) Pull-up: 4 x 6
D) Box pistol: 4 x 5/leg
E) Bar row: 4 x 12</x:v>
      </x:c>
      <x:c r="D25" s="33" t="str">
        <x:v>Handstand movement and strength</x:v>
      </x:c>
      <x:c r="E25" s="33" t="n">
        <x:v>80</x:v>
      </x:c>
      <x:c r="F25" s="35"/>
      <x:c r="G25" s="36" t="b">
        <x:f aca="0">FALSE()</x:f>
        <x:v>0</x:v>
      </x:c>
      <x:c r="H25" s="78" t="n">
        <x:v>3</x:v>
      </x:c>
      <x:c r="I25" s="78" t="n">
        <x:v>3</x:v>
      </x:c>
      <x:c r="J25" s="78" t="n">
        <x:v>3</x:v>
      </x:c>
      <x:c r="K25" s="78"/>
      <x:c r="L25" s="78"/>
      <x:c r="M25" s="73"/>
      <x:c r="N25" s="72" t="n">
        <x:v>8</x:v>
      </x:c>
      <x:c r="O25" s="72" t="n">
        <x:v>8</x:v>
      </x:c>
      <x:c r="P25" s="72" t="n">
        <x:v>8</x:v>
      </x:c>
      <x:c r="Q25" s="72" t="n">
        <x:v>8</x:v>
      </x:c>
      <x:c r="R25" s="72"/>
      <x:c r="S25" s="73"/>
      <x:c r="T25" s="72" t="n">
        <x:v>6</x:v>
      </x:c>
      <x:c r="U25" s="72" t="n">
        <x:v>6</x:v>
      </x:c>
      <x:c r="V25" s="72" t="n">
        <x:v>6</x:v>
      </x:c>
      <x:c r="W25" s="72" t="n">
        <x:v>6</x:v>
      </x:c>
      <x:c r="X25" s="72"/>
      <x:c r="Y25" s="73"/>
      <x:c r="Z25" s="72" t="n">
        <x:v>5</x:v>
      </x:c>
      <x:c r="AA25" s="72" t="n">
        <x:v>5</x:v>
      </x:c>
      <x:c r="AB25" s="72" t="n">
        <x:v>5</x:v>
      </x:c>
      <x:c r="AC25" s="72" t="n">
        <x:v>5</x:v>
      </x:c>
      <x:c r="AD25" s="72"/>
      <x:c r="AE25" s="73"/>
      <x:c r="AF25" s="72" t="n">
        <x:v>12</x:v>
      </x:c>
      <x:c r="AG25" s="72" t="n">
        <x:v>12</x:v>
      </x:c>
      <x:c r="AH25" s="72" t="n">
        <x:v>12</x:v>
      </x:c>
      <x:c r="AI25" s="72" t="n">
        <x:v>12</x:v>
      </x:c>
      <x:c r="AJ25" s="72"/>
      <x:c r="AK25" s="73"/>
      <x:c r="AL25" s="73"/>
      <x:c r="AM25" s="39"/>
      <x:c r="AN25" s="40" t="s">
        <x:v>118</x:v>
      </x:c>
      <x:c r="AO25" s="41">
        <x:f>Scoring!P101</x:f>
        <x:v>3.8</x:v>
      </x:c>
      <x:c r="AP25" s="42"/>
    </x:row>
    <x:row r="26" ht="135" hidden="0" customHeight="1">
      <x:c r="A26" s="43" t="n">
        <x:f aca="0">Strategy!$E$3+39</x:f>
        <x:v>46367.5</x:v>
      </x:c>
      <x:c r="B26" s="44" t="s">
        <x:v>51</x:v>
      </x:c>
      <x:c r="C26" s="84" t="str">
        <x:v>Warm-up: 8 min. Rest: 2–3 min strength; 90 sec legs; 60–90 sec handstand walks. Leave 1–2 reps in reserve.
A) Low-bar transition: 4 x 3
B) Handstand walk: 4 x 3 m
C) Straight-bar dip: 4 x 8
D) Elevated pike push-up: 4 x 8
Cal-Intervals: 5 rounds
Circuit: pull / Mike Tyson push-ups / squat / hanging core. 30 sec work + 20 sec rest.</x:v>
      </x:c>
      <x:c r="D26" s="44" t="str">
        <x:v>Muscle-up movement + Cal-Intervals</x:v>
      </x:c>
      <x:c r="E26" s="44" t="n">
        <x:v>85</x:v>
      </x:c>
      <x:c r="F26" s="45"/>
      <x:c r="G26" s="46" t="b">
        <x:f aca="0">FALSE()</x:f>
        <x:v>0</x:v>
      </x:c>
      <x:c r="H26" s="74" t="n">
        <x:v>3</x:v>
      </x:c>
      <x:c r="I26" s="74" t="n">
        <x:v>3</x:v>
      </x:c>
      <x:c r="J26" s="74" t="n">
        <x:v>3</x:v>
      </x:c>
      <x:c r="K26" s="74" t="n">
        <x:v>3</x:v>
      </x:c>
      <x:c r="L26" s="74"/>
      <x:c r="M26" s="75"/>
      <x:c r="N26" s="77" t="n">
        <x:v>3</x:v>
      </x:c>
      <x:c r="O26" s="77" t="n">
        <x:v>3</x:v>
      </x:c>
      <x:c r="P26" s="77" t="n">
        <x:v>3</x:v>
      </x:c>
      <x:c r="Q26" s="77" t="n">
        <x:v>3</x:v>
      </x:c>
      <x:c r="R26" s="77"/>
      <x:c r="S26" s="75"/>
      <x:c r="T26" s="74" t="n">
        <x:v>8</x:v>
      </x:c>
      <x:c r="U26" s="74" t="n">
        <x:v>8</x:v>
      </x:c>
      <x:c r="V26" s="74" t="n">
        <x:v>8</x:v>
      </x:c>
      <x:c r="W26" s="74" t="n">
        <x:v>8</x:v>
      </x:c>
      <x:c r="X26" s="74"/>
      <x:c r="Y26" s="75"/>
      <x:c r="Z26" s="74" t="n">
        <x:v>8</x:v>
      </x:c>
      <x:c r="AA26" s="74" t="n">
        <x:v>8</x:v>
      </x:c>
      <x:c r="AB26" s="74" t="n">
        <x:v>8</x:v>
      </x:c>
      <x:c r="AC26" s="74" t="n">
        <x:v>8</x:v>
      </x:c>
      <x:c r="AD26" s="74"/>
      <x:c r="AE26" s="75"/>
      <x:c r="AF26" s="74"/>
      <x:c r="AG26" s="74"/>
      <x:c r="AH26" s="74"/>
      <x:c r="AI26" s="74"/>
      <x:c r="AJ26" s="74"/>
      <x:c r="AK26" s="75"/>
      <x:c r="AL26" s="75" t="n">
        <x:v>5</x:v>
      </x:c>
      <x:c r="AM26" s="50"/>
      <x:c r="AN26" s="51" t="s">
        <x:v>118</x:v>
      </x:c>
      <x:c r="AO26" s="52">
        <x:f>Scoring!P106</x:f>
        <x:v>4.4</x:v>
      </x:c>
      <x:c r="AP26" s="53"/>
    </x:row>
    <x:row r="27" ht="135" hidden="0" customHeight="1">
      <x:c r="A27" s="32" t="n">
        <x:f aca="0">Strategy!$E$3+42</x:f>
        <x:v>46370.5</x:v>
      </x:c>
      <x:c r="B27" s="33" t="s">
        <x:v>45</x:v>
      </x:c>
      <x:c r="C27" s="83" t="str">
        <x:f>"Warm-up: 8 min. Rest: 2–3 min strength; 90 sec legs; 60–90 sec handstand walks. Leave 1–2 reps in reserve."&amp;CHAR(10)&amp;Strategy!H27</x:f>
        <x:v>Warm-up: 8 min. Rest: 2–3 min strength; 90 sec legs; 60–90 sec handstand walks. Leave 1–2 reps in reserve.
A) High pull: 4 x 3
B) Pull-up: 4 x 6
C) Parallel-bar dip: 4 x 12
D) Box pistol: 4 x 5/leg
E) Sliding hamstring curl: 3 x 10</x:v>
      </x:c>
      <x:c r="D27" s="33" t="str">
        <x:v>Pull and muscle-up strength</x:v>
      </x:c>
      <x:c r="E27" s="33" t="n">
        <x:v>80</x:v>
      </x:c>
      <x:c r="F27" s="35"/>
      <x:c r="G27" s="36" t="b">
        <x:f aca="0">FALSE()</x:f>
        <x:v>0</x:v>
      </x:c>
      <x:c r="H27" s="72" t="n">
        <x:v>3</x:v>
      </x:c>
      <x:c r="I27" s="72" t="n">
        <x:v>3</x:v>
      </x:c>
      <x:c r="J27" s="72" t="n">
        <x:v>3</x:v>
      </x:c>
      <x:c r="K27" s="72" t="n">
        <x:v>3</x:v>
      </x:c>
      <x:c r="L27" s="72"/>
      <x:c r="M27" s="73"/>
      <x:c r="N27" s="72" t="n">
        <x:v>6</x:v>
      </x:c>
      <x:c r="O27" s="72" t="n">
        <x:v>6</x:v>
      </x:c>
      <x:c r="P27" s="72" t="n">
        <x:v>6</x:v>
      </x:c>
      <x:c r="Q27" s="72" t="n">
        <x:v>6</x:v>
      </x:c>
      <x:c r="R27" s="72"/>
      <x:c r="S27" s="73"/>
      <x:c r="T27" s="72" t="n">
        <x:v>12</x:v>
      </x:c>
      <x:c r="U27" s="72" t="n">
        <x:v>12</x:v>
      </x:c>
      <x:c r="V27" s="72" t="n">
        <x:v>12</x:v>
      </x:c>
      <x:c r="W27" s="72" t="n">
        <x:v>12</x:v>
      </x:c>
      <x:c r="X27" s="72"/>
      <x:c r="Y27" s="73"/>
      <x:c r="Z27" s="72" t="n">
        <x:v>5</x:v>
      </x:c>
      <x:c r="AA27" s="72" t="n">
        <x:v>5</x:v>
      </x:c>
      <x:c r="AB27" s="72" t="n">
        <x:v>5</x:v>
      </x:c>
      <x:c r="AC27" s="72" t="n">
        <x:v>5</x:v>
      </x:c>
      <x:c r="AD27" s="72"/>
      <x:c r="AE27" s="73"/>
      <x:c r="AF27" s="72" t="n">
        <x:v>10</x:v>
      </x:c>
      <x:c r="AG27" s="72" t="n">
        <x:v>10</x:v>
      </x:c>
      <x:c r="AH27" s="72" t="n">
        <x:v>10</x:v>
      </x:c>
      <x:c r="AI27" s="72"/>
      <x:c r="AJ27" s="72"/>
      <x:c r="AK27" s="73"/>
      <x:c r="AL27" s="73"/>
      <x:c r="AM27" s="39"/>
      <x:c r="AN27" s="40" t="s">
        <x:v>118</x:v>
      </x:c>
      <x:c r="AO27" s="41">
        <x:f>Scoring!P111</x:f>
        <x:v>4</x:v>
      </x:c>
      <x:c r="AP27" s="42"/>
    </x:row>
    <x:row r="28" ht="80" hidden="0" customHeight="1">
      <x:c r="A28" s="43" t="n">
        <x:f aca="0">Strategy!$E$3+43</x:f>
        <x:v>46371.5</x:v>
      </x:c>
      <x:c r="B28" s="44" t="s">
        <x:v>51</x:v>
      </x:c>
      <x:c r="C28" s="84" t="str">
        <x:v>Easy movement; rest 60 sec.
A) Wrist/shoulder mobility: 1 x 120 sec
B) Easy handstand walk: 3 x 2 m
C) Easy bear crawl: 3 x 20 sec</x:v>
      </x:c>
      <x:c r="D28" s="44" t="str">
        <x:v>Optional movement practice</x:v>
      </x:c>
      <x:c r="E28" s="44" t="n">
        <x:v>10</x:v>
      </x:c>
      <x:c r="F28" s="45"/>
      <x:c r="G28" s="46" t="b">
        <x:f aca="0">FALSE()</x:f>
        <x:v>0</x:v>
      </x:c>
      <x:c r="H28" s="76" t="n">
        <x:v>0.001388888888888889</x:v>
      </x:c>
      <x:c r="I28" s="76"/>
      <x:c r="J28" s="76"/>
      <x:c r="K28" s="76"/>
      <x:c r="L28" s="76"/>
      <x:c r="M28" s="75"/>
      <x:c r="N28" s="77" t="n">
        <x:v>2</x:v>
      </x:c>
      <x:c r="O28" s="77" t="n">
        <x:v>2</x:v>
      </x:c>
      <x:c r="P28" s="77" t="n">
        <x:v>2</x:v>
      </x:c>
      <x:c r="Q28" s="77"/>
      <x:c r="R28" s="77"/>
      <x:c r="S28" s="75"/>
      <x:c r="T28" s="76" t="n">
        <x:v>0.0002314814814814815</x:v>
      </x:c>
      <x:c r="U28" s="76" t="n">
        <x:v>0.0002314814814814815</x:v>
      </x:c>
      <x:c r="V28" s="76" t="n">
        <x:v>0.0002314814814814815</x:v>
      </x:c>
      <x:c r="W28" s="76"/>
      <x:c r="X28" s="76"/>
      <x:c r="Y28" s="75"/>
      <x:c r="Z28" s="74"/>
      <x:c r="AA28" s="74"/>
      <x:c r="AB28" s="74"/>
      <x:c r="AC28" s="74"/>
      <x:c r="AD28" s="74"/>
      <x:c r="AE28" s="75"/>
      <x:c r="AF28" s="74"/>
      <x:c r="AG28" s="74"/>
      <x:c r="AH28" s="74"/>
      <x:c r="AI28" s="74"/>
      <x:c r="AJ28" s="74"/>
      <x:c r="AK28" s="75"/>
      <x:c r="AL28" s="75"/>
      <x:c r="AM28" s="50"/>
      <x:c r="AN28" s="51" t="s">
        <x:v>118</x:v>
      </x:c>
      <x:c r="AO28" s="52">
        <x:f>Scoring!P116</x:f>
        <x:v>1</x:v>
      </x:c>
      <x:c r="AP28" s="53"/>
    </x:row>
    <x:row r="29" ht="135" hidden="0" customHeight="1">
      <x:c r="A29" s="32" t="n">
        <x:f aca="0">Strategy!$E$3+44</x:f>
        <x:v>46372.5</x:v>
      </x:c>
      <x:c r="B29" s="33" t="s">
        <x:v>48</x:v>
      </x:c>
      <x:c r="C29" s="83" t="str">
        <x:f>"Warm-up: 8 min. Rest: 2–3 min strength; 90 sec legs; 60–90 sec handstand walks. Leave 1–2 reps in reserve."&amp;CHAR(10)&amp;Strategy!I27</x:f>
        <x:v>Warm-up: 8 min. Rest: 2–3 min strength; 90 sec legs; 60–90 sec handstand walks. Leave 1–2 reps in reserve.
A) Handstand walk: 3 x 3 m
B) Elevated pike push-up: 4 x 8
C) Pull-up: 4 x 6
D) Box pistol: 4 x 5/leg
E) Bar row: 4 x 12</x:v>
      </x:c>
      <x:c r="D29" s="33" t="str">
        <x:v>Handstand movement and strength</x:v>
      </x:c>
      <x:c r="E29" s="33" t="n">
        <x:v>80</x:v>
      </x:c>
      <x:c r="F29" s="35"/>
      <x:c r="G29" s="36" t="b">
        <x:f aca="0">FALSE()</x:f>
        <x:v>0</x:v>
      </x:c>
      <x:c r="H29" s="78" t="n">
        <x:v>3</x:v>
      </x:c>
      <x:c r="I29" s="78" t="n">
        <x:v>3</x:v>
      </x:c>
      <x:c r="J29" s="78" t="n">
        <x:v>3</x:v>
      </x:c>
      <x:c r="K29" s="78"/>
      <x:c r="L29" s="78"/>
      <x:c r="M29" s="73"/>
      <x:c r="N29" s="72" t="n">
        <x:v>8</x:v>
      </x:c>
      <x:c r="O29" s="72" t="n">
        <x:v>8</x:v>
      </x:c>
      <x:c r="P29" s="72" t="n">
        <x:v>8</x:v>
      </x:c>
      <x:c r="Q29" s="72" t="n">
        <x:v>8</x:v>
      </x:c>
      <x:c r="R29" s="72"/>
      <x:c r="S29" s="73"/>
      <x:c r="T29" s="72" t="n">
        <x:v>6</x:v>
      </x:c>
      <x:c r="U29" s="72" t="n">
        <x:v>6</x:v>
      </x:c>
      <x:c r="V29" s="72" t="n">
        <x:v>6</x:v>
      </x:c>
      <x:c r="W29" s="72" t="n">
        <x:v>6</x:v>
      </x:c>
      <x:c r="X29" s="72"/>
      <x:c r="Y29" s="73"/>
      <x:c r="Z29" s="72" t="n">
        <x:v>5</x:v>
      </x:c>
      <x:c r="AA29" s="72" t="n">
        <x:v>5</x:v>
      </x:c>
      <x:c r="AB29" s="72" t="n">
        <x:v>5</x:v>
      </x:c>
      <x:c r="AC29" s="72" t="n">
        <x:v>5</x:v>
      </x:c>
      <x:c r="AD29" s="72"/>
      <x:c r="AE29" s="73"/>
      <x:c r="AF29" s="72" t="n">
        <x:v>12</x:v>
      </x:c>
      <x:c r="AG29" s="72" t="n">
        <x:v>12</x:v>
      </x:c>
      <x:c r="AH29" s="72" t="n">
        <x:v>12</x:v>
      </x:c>
      <x:c r="AI29" s="72" t="n">
        <x:v>12</x:v>
      </x:c>
      <x:c r="AJ29" s="72"/>
      <x:c r="AK29" s="73"/>
      <x:c r="AL29" s="73"/>
      <x:c r="AM29" s="39"/>
      <x:c r="AN29" s="40" t="s">
        <x:v>118</x:v>
      </x:c>
      <x:c r="AO29" s="41">
        <x:f>Scoring!P119</x:f>
        <x:v>3.8</x:v>
      </x:c>
      <x:c r="AP29" s="42"/>
    </x:row>
    <x:row r="30" ht="135" hidden="0" customHeight="1">
      <x:c r="A30" s="43" t="n">
        <x:f aca="0">Strategy!$E$3+46</x:f>
        <x:v>46374.5</x:v>
      </x:c>
      <x:c r="B30" s="44" t="s">
        <x:v>51</x:v>
      </x:c>
      <x:c r="C30" s="84" t="str">
        <x:v>Warm-up: 8 min. Rest: 2–3 min strength; 90 sec legs; 60–90 sec handstand walks. Leave 1–2 reps in reserve.
A) Low-bar transition: 4 x 3
B) Handstand walk: 4 x 3 m
C) Straight-bar dip: 4 x 8
D) Elevated pike push-up: 4 x 8
Cal-Intervals: 5 rounds
Circuit: pull / Mike Tyson push-ups / squat / hanging core. 30 sec work + 20 sec rest.</x:v>
      </x:c>
      <x:c r="D30" s="44" t="str">
        <x:v>Muscle-up movement + Cal-Intervals</x:v>
      </x:c>
      <x:c r="E30" s="44" t="n">
        <x:v>85</x:v>
      </x:c>
      <x:c r="F30" s="45"/>
      <x:c r="G30" s="46" t="b">
        <x:f aca="0">FALSE()</x:f>
        <x:v>0</x:v>
      </x:c>
      <x:c r="H30" s="74" t="n">
        <x:v>3</x:v>
      </x:c>
      <x:c r="I30" s="74" t="n">
        <x:v>3</x:v>
      </x:c>
      <x:c r="J30" s="74" t="n">
        <x:v>3</x:v>
      </x:c>
      <x:c r="K30" s="74" t="n">
        <x:v>3</x:v>
      </x:c>
      <x:c r="L30" s="74"/>
      <x:c r="M30" s="75"/>
      <x:c r="N30" s="77" t="n">
        <x:v>3</x:v>
      </x:c>
      <x:c r="O30" s="77" t="n">
        <x:v>3</x:v>
      </x:c>
      <x:c r="P30" s="77" t="n">
        <x:v>3</x:v>
      </x:c>
      <x:c r="Q30" s="77" t="n">
        <x:v>3</x:v>
      </x:c>
      <x:c r="R30" s="77"/>
      <x:c r="S30" s="75"/>
      <x:c r="T30" s="74" t="n">
        <x:v>8</x:v>
      </x:c>
      <x:c r="U30" s="74" t="n">
        <x:v>8</x:v>
      </x:c>
      <x:c r="V30" s="74" t="n">
        <x:v>8</x:v>
      </x:c>
      <x:c r="W30" s="74" t="n">
        <x:v>8</x:v>
      </x:c>
      <x:c r="X30" s="74"/>
      <x:c r="Y30" s="75"/>
      <x:c r="Z30" s="74" t="n">
        <x:v>8</x:v>
      </x:c>
      <x:c r="AA30" s="74" t="n">
        <x:v>8</x:v>
      </x:c>
      <x:c r="AB30" s="74" t="n">
        <x:v>8</x:v>
      </x:c>
      <x:c r="AC30" s="74" t="n">
        <x:v>8</x:v>
      </x:c>
      <x:c r="AD30" s="74"/>
      <x:c r="AE30" s="75"/>
      <x:c r="AF30" s="74"/>
      <x:c r="AG30" s="74"/>
      <x:c r="AH30" s="74"/>
      <x:c r="AI30" s="74"/>
      <x:c r="AJ30" s="74"/>
      <x:c r="AK30" s="75"/>
      <x:c r="AL30" s="75" t="n">
        <x:v>5</x:v>
      </x:c>
      <x:c r="AM30" s="50"/>
      <x:c r="AN30" s="51" t="s">
        <x:v>118</x:v>
      </x:c>
      <x:c r="AO30" s="52">
        <x:f>Scoring!P124</x:f>
        <x:v>4.4</x:v>
      </x:c>
      <x:c r="AP30" s="53"/>
    </x:row>
    <x:row r="31" ht="135" hidden="0" customHeight="1">
      <x:c r="A31" s="32" t="n">
        <x:f aca="0">Strategy!$E$3+49</x:f>
        <x:v>46377.5</x:v>
      </x:c>
      <x:c r="B31" s="33" t="s">
        <x:v>45</x:v>
      </x:c>
      <x:c r="C31" s="83" t="str">
        <x:f>"Warm-up: 8 min. Rest: 2–3 min strength; 90 sec legs; 60–90 sec handstand walks. Easy sets."&amp;CHAR(10)&amp;Strategy!H28</x:f>
        <x:v>Warm-up: 8 min. Rest: 2–3 min strength; 90 sec legs; 60–90 sec handstand walks. Easy sets.
A) High pull: 2 x 3
B) Pull-up: 2 x 6
C) Parallel-bar dip: 2 x 12
D) Box pistol: 2 x 5/leg
E) Sliding hamstring curl: 2 x 10</x:v>
      </x:c>
      <x:c r="D31" s="33" t="str">
        <x:v>Pull and muscle-up strength</x:v>
      </x:c>
      <x:c r="E31" s="33" t="n">
        <x:v>45</x:v>
      </x:c>
      <x:c r="F31" s="35"/>
      <x:c r="G31" s="36" t="b">
        <x:f aca="0">FALSE()</x:f>
        <x:v>0</x:v>
      </x:c>
      <x:c r="H31" s="72" t="n">
        <x:v>3</x:v>
      </x:c>
      <x:c r="I31" s="72" t="n">
        <x:v>3</x:v>
      </x:c>
      <x:c r="J31" s="72"/>
      <x:c r="K31" s="72"/>
      <x:c r="L31" s="72"/>
      <x:c r="M31" s="73"/>
      <x:c r="N31" s="72" t="n">
        <x:v>6</x:v>
      </x:c>
      <x:c r="O31" s="72" t="n">
        <x:v>6</x:v>
      </x:c>
      <x:c r="P31" s="72"/>
      <x:c r="Q31" s="72"/>
      <x:c r="R31" s="72"/>
      <x:c r="S31" s="73"/>
      <x:c r="T31" s="72" t="n">
        <x:v>12</x:v>
      </x:c>
      <x:c r="U31" s="72" t="n">
        <x:v>12</x:v>
      </x:c>
      <x:c r="V31" s="72"/>
      <x:c r="W31" s="72"/>
      <x:c r="X31" s="72"/>
      <x:c r="Y31" s="73"/>
      <x:c r="Z31" s="72" t="n">
        <x:v>5</x:v>
      </x:c>
      <x:c r="AA31" s="72" t="n">
        <x:v>5</x:v>
      </x:c>
      <x:c r="AB31" s="72"/>
      <x:c r="AC31" s="72"/>
      <x:c r="AD31" s="72"/>
      <x:c r="AE31" s="73"/>
      <x:c r="AF31" s="72" t="n">
        <x:v>10</x:v>
      </x:c>
      <x:c r="AG31" s="72" t="n">
        <x:v>10</x:v>
      </x:c>
      <x:c r="AH31" s="72"/>
      <x:c r="AI31" s="72"/>
      <x:c r="AJ31" s="72"/>
      <x:c r="AK31" s="73"/>
      <x:c r="AL31" s="73"/>
      <x:c r="AM31" s="39"/>
      <x:c r="AN31" s="40" t="s">
        <x:v>118</x:v>
      </x:c>
      <x:c r="AO31" s="41">
        <x:f>Scoring!P129</x:f>
        <x:v>4</x:v>
      </x:c>
      <x:c r="AP31" s="42"/>
    </x:row>
    <x:row r="32" ht="80" hidden="0" customHeight="1">
      <x:c r="A32" s="43" t="n">
        <x:f aca="0">Strategy!$E$3+50</x:f>
        <x:v>46378.5</x:v>
      </x:c>
      <x:c r="B32" s="44" t="s">
        <x:v>51</x:v>
      </x:c>
      <x:c r="C32" s="84" t="str">
        <x:v>Easy movement; rest 60 sec.
A) Wrist/shoulder mobility: 1 x 120 sec
B) Easy handstand walk: 3 x 2 m
C) Easy bear crawl: 3 x 20 sec</x:v>
      </x:c>
      <x:c r="D32" s="44" t="str">
        <x:v>Optional movement practice</x:v>
      </x:c>
      <x:c r="E32" s="44" t="n">
        <x:v>10</x:v>
      </x:c>
      <x:c r="F32" s="45"/>
      <x:c r="G32" s="46" t="b">
        <x:f aca="0">FALSE()</x:f>
        <x:v>0</x:v>
      </x:c>
      <x:c r="H32" s="76" t="n">
        <x:v>0.001388888888888889</x:v>
      </x:c>
      <x:c r="I32" s="76"/>
      <x:c r="J32" s="76"/>
      <x:c r="K32" s="76"/>
      <x:c r="L32" s="76"/>
      <x:c r="M32" s="75"/>
      <x:c r="N32" s="77" t="n">
        <x:v>2</x:v>
      </x:c>
      <x:c r="O32" s="77" t="n">
        <x:v>2</x:v>
      </x:c>
      <x:c r="P32" s="77" t="n">
        <x:v>2</x:v>
      </x:c>
      <x:c r="Q32" s="77"/>
      <x:c r="R32" s="77"/>
      <x:c r="S32" s="75"/>
      <x:c r="T32" s="76" t="n">
        <x:v>0.0002314814814814815</x:v>
      </x:c>
      <x:c r="U32" s="76" t="n">
        <x:v>0.0002314814814814815</x:v>
      </x:c>
      <x:c r="V32" s="76" t="n">
        <x:v>0.0002314814814814815</x:v>
      </x:c>
      <x:c r="W32" s="76"/>
      <x:c r="X32" s="76"/>
      <x:c r="Y32" s="75"/>
      <x:c r="Z32" s="74"/>
      <x:c r="AA32" s="74"/>
      <x:c r="AB32" s="74"/>
      <x:c r="AC32" s="74"/>
      <x:c r="AD32" s="74"/>
      <x:c r="AE32" s="75"/>
      <x:c r="AF32" s="74"/>
      <x:c r="AG32" s="74"/>
      <x:c r="AH32" s="74"/>
      <x:c r="AI32" s="74"/>
      <x:c r="AJ32" s="74"/>
      <x:c r="AK32" s="75"/>
      <x:c r="AL32" s="75"/>
      <x:c r="AM32" s="50"/>
      <x:c r="AN32" s="51" t="s">
        <x:v>118</x:v>
      </x:c>
      <x:c r="AO32" s="52">
        <x:f>Scoring!P134</x:f>
        <x:v>1</x:v>
      </x:c>
      <x:c r="AP32" s="53"/>
    </x:row>
    <x:row r="33" ht="135" hidden="0" customHeight="1">
      <x:c r="A33" s="32" t="n">
        <x:f aca="0">Strategy!$E$3+51</x:f>
        <x:v>46379.5</x:v>
      </x:c>
      <x:c r="B33" s="33" t="s">
        <x:v>48</x:v>
      </x:c>
      <x:c r="C33" s="83" t="str">
        <x:f>"Warm-up: 8 min. Rest: 2–3 min strength; 90 sec legs; 60–90 sec handstand walks. Easy sets."&amp;CHAR(10)&amp;Strategy!I28</x:f>
        <x:v>Warm-up: 8 min. Rest: 2–3 min strength; 90 sec legs; 60–90 sec handstand walks. Easy sets.
A) Handstand walk: 2 x 3 m
B) Elevated pike push-up: 2 x 8
C) Pull-up: 2 x 6
D) Box pistol: 2 x 5/leg
E) Bar row: 2 x 12</x:v>
      </x:c>
      <x:c r="D33" s="33" t="str">
        <x:v>Handstand movement and strength</x:v>
      </x:c>
      <x:c r="E33" s="33" t="n">
        <x:v>45</x:v>
      </x:c>
      <x:c r="F33" s="35"/>
      <x:c r="G33" s="36" t="b">
        <x:f aca="0">FALSE()</x:f>
        <x:v>0</x:v>
      </x:c>
      <x:c r="H33" s="78" t="n">
        <x:v>3</x:v>
      </x:c>
      <x:c r="I33" s="78" t="n">
        <x:v>3</x:v>
      </x:c>
      <x:c r="J33" s="78"/>
      <x:c r="K33" s="78"/>
      <x:c r="L33" s="78"/>
      <x:c r="M33" s="73"/>
      <x:c r="N33" s="72" t="n">
        <x:v>8</x:v>
      </x:c>
      <x:c r="O33" s="72" t="n">
        <x:v>8</x:v>
      </x:c>
      <x:c r="P33" s="72"/>
      <x:c r="Q33" s="72"/>
      <x:c r="R33" s="72"/>
      <x:c r="S33" s="73"/>
      <x:c r="T33" s="72" t="n">
        <x:v>6</x:v>
      </x:c>
      <x:c r="U33" s="72" t="n">
        <x:v>6</x:v>
      </x:c>
      <x:c r="V33" s="72"/>
      <x:c r="W33" s="72"/>
      <x:c r="X33" s="72"/>
      <x:c r="Y33" s="73"/>
      <x:c r="Z33" s="72" t="n">
        <x:v>5</x:v>
      </x:c>
      <x:c r="AA33" s="72" t="n">
        <x:v>5</x:v>
      </x:c>
      <x:c r="AB33" s="72"/>
      <x:c r="AC33" s="72"/>
      <x:c r="AD33" s="72"/>
      <x:c r="AE33" s="73"/>
      <x:c r="AF33" s="72" t="n">
        <x:v>12</x:v>
      </x:c>
      <x:c r="AG33" s="72" t="n">
        <x:v>12</x:v>
      </x:c>
      <x:c r="AH33" s="72"/>
      <x:c r="AI33" s="72"/>
      <x:c r="AJ33" s="72"/>
      <x:c r="AK33" s="73"/>
      <x:c r="AL33" s="73"/>
      <x:c r="AM33" s="39"/>
      <x:c r="AN33" s="40" t="s">
        <x:v>118</x:v>
      </x:c>
      <x:c r="AO33" s="41">
        <x:f>Scoring!P137</x:f>
        <x:v>3.8</x:v>
      </x:c>
      <x:c r="AP33" s="42"/>
    </x:row>
    <x:row r="34" ht="135" hidden="0" customHeight="1">
      <x:c r="A34" s="43" t="n">
        <x:f aca="0">Strategy!$E$3+53</x:f>
        <x:v>46381.5</x:v>
      </x:c>
      <x:c r="B34" s="44" t="s">
        <x:v>51</x:v>
      </x:c>
      <x:c r="C34" s="84" t="str">
        <x:v>Warm-up: 8 min. Rest: 2–3 min strength; 90 sec legs; 60–90 sec handstand walks. Easy sets.
A) Low-bar transition: 2 x 3
B) Handstand walk: 2 x 3 m
C) Straight-bar dip: 2 x 8
D) Elevated pike push-up: 2 x 8
Cal-Intervals: 3 rounds
Circuit: pull / Mike Tyson push-ups / squat / hanging core. 30 sec work + 20 sec rest.</x:v>
      </x:c>
      <x:c r="D34" s="44" t="str">
        <x:v>Muscle-up movement + Cal-Intervals</x:v>
      </x:c>
      <x:c r="E34" s="44" t="n">
        <x:v>50</x:v>
      </x:c>
      <x:c r="F34" s="45"/>
      <x:c r="G34" s="46" t="b">
        <x:f aca="0">FALSE()</x:f>
        <x:v>0</x:v>
      </x:c>
      <x:c r="H34" s="74" t="n">
        <x:v>3</x:v>
      </x:c>
      <x:c r="I34" s="74" t="n">
        <x:v>3</x:v>
      </x:c>
      <x:c r="J34" s="74"/>
      <x:c r="K34" s="74"/>
      <x:c r="L34" s="74"/>
      <x:c r="M34" s="75"/>
      <x:c r="N34" s="77" t="n">
        <x:v>3</x:v>
      </x:c>
      <x:c r="O34" s="77" t="n">
        <x:v>3</x:v>
      </x:c>
      <x:c r="P34" s="77"/>
      <x:c r="Q34" s="77"/>
      <x:c r="R34" s="77"/>
      <x:c r="S34" s="75"/>
      <x:c r="T34" s="74" t="n">
        <x:v>8</x:v>
      </x:c>
      <x:c r="U34" s="74" t="n">
        <x:v>8</x:v>
      </x:c>
      <x:c r="V34" s="74"/>
      <x:c r="W34" s="74"/>
      <x:c r="X34" s="74"/>
      <x:c r="Y34" s="75"/>
      <x:c r="Z34" s="74" t="n">
        <x:v>8</x:v>
      </x:c>
      <x:c r="AA34" s="74" t="n">
        <x:v>8</x:v>
      </x:c>
      <x:c r="AB34" s="74"/>
      <x:c r="AC34" s="74"/>
      <x:c r="AD34" s="74"/>
      <x:c r="AE34" s="75"/>
      <x:c r="AF34" s="74"/>
      <x:c r="AG34" s="74"/>
      <x:c r="AH34" s="74"/>
      <x:c r="AI34" s="74"/>
      <x:c r="AJ34" s="74"/>
      <x:c r="AK34" s="75"/>
      <x:c r="AL34" s="75" t="n">
        <x:v>3</x:v>
      </x:c>
      <x:c r="AM34" s="50"/>
      <x:c r="AN34" s="51" t="s">
        <x:v>118</x:v>
      </x:c>
      <x:c r="AO34" s="52">
        <x:f>Scoring!P142</x:f>
        <x:v>4.5</x:v>
      </x:c>
      <x:c r="AP34" s="53"/>
    </x:row>
    <x:row r="35" ht="135" hidden="0" customHeight="1">
      <x:c r="A35" s="32" t="n">
        <x:f aca="0">Strategy!$E$3+56</x:f>
        <x:v>46384.5</x:v>
      </x:c>
      <x:c r="B35" s="33" t="s">
        <x:v>45</x:v>
      </x:c>
      <x:c r="C35" s="83" t="str">
        <x:f>"Warm-up: 8 min. Rest: 2–3 min strength; 90 sec legs; 60–90 sec handstand walks. Leave 1–2 reps in reserve."&amp;CHAR(10)&amp;Strategy!H29</x:f>
        <x:v>Warm-up: 8 min. Rest: 2–3 min strength; 90 sec legs; 60–90 sec handstand walks. Leave 1–2 reps in reserve.
A) High pull: 4 x 3
B) Pull-up: 4 x 6
C) Parallel-bar dip: 4 x 12
D) Box pistol: 4 x 5/leg
E) Sliding hamstring curl: 3 x 10</x:v>
      </x:c>
      <x:c r="D35" s="33" t="str">
        <x:v>Pull and muscle-up strength</x:v>
      </x:c>
      <x:c r="E35" s="33" t="n">
        <x:v>80</x:v>
      </x:c>
      <x:c r="F35" s="35"/>
      <x:c r="G35" s="36" t="b">
        <x:f aca="0">FALSE()</x:f>
        <x:v>0</x:v>
      </x:c>
      <x:c r="H35" s="72" t="n">
        <x:v>3</x:v>
      </x:c>
      <x:c r="I35" s="72" t="n">
        <x:v>3</x:v>
      </x:c>
      <x:c r="J35" s="72" t="n">
        <x:v>3</x:v>
      </x:c>
      <x:c r="K35" s="72" t="n">
        <x:v>3</x:v>
      </x:c>
      <x:c r="L35" s="72"/>
      <x:c r="M35" s="73"/>
      <x:c r="N35" s="72" t="n">
        <x:v>6</x:v>
      </x:c>
      <x:c r="O35" s="72" t="n">
        <x:v>6</x:v>
      </x:c>
      <x:c r="P35" s="72" t="n">
        <x:v>6</x:v>
      </x:c>
      <x:c r="Q35" s="72" t="n">
        <x:v>6</x:v>
      </x:c>
      <x:c r="R35" s="72"/>
      <x:c r="S35" s="73"/>
      <x:c r="T35" s="72" t="n">
        <x:v>12</x:v>
      </x:c>
      <x:c r="U35" s="72" t="n">
        <x:v>12</x:v>
      </x:c>
      <x:c r="V35" s="72" t="n">
        <x:v>12</x:v>
      </x:c>
      <x:c r="W35" s="72" t="n">
        <x:v>12</x:v>
      </x:c>
      <x:c r="X35" s="72"/>
      <x:c r="Y35" s="73"/>
      <x:c r="Z35" s="72" t="n">
        <x:v>5</x:v>
      </x:c>
      <x:c r="AA35" s="72" t="n">
        <x:v>5</x:v>
      </x:c>
      <x:c r="AB35" s="72" t="n">
        <x:v>5</x:v>
      </x:c>
      <x:c r="AC35" s="72" t="n">
        <x:v>5</x:v>
      </x:c>
      <x:c r="AD35" s="72"/>
      <x:c r="AE35" s="73"/>
      <x:c r="AF35" s="72" t="n">
        <x:v>10</x:v>
      </x:c>
      <x:c r="AG35" s="72" t="n">
        <x:v>10</x:v>
      </x:c>
      <x:c r="AH35" s="72" t="n">
        <x:v>10</x:v>
      </x:c>
      <x:c r="AI35" s="72"/>
      <x:c r="AJ35" s="72"/>
      <x:c r="AK35" s="73"/>
      <x:c r="AL35" s="73"/>
      <x:c r="AM35" s="39"/>
      <x:c r="AN35" s="40" t="s">
        <x:v>118</x:v>
      </x:c>
      <x:c r="AO35" s="41">
        <x:f>Scoring!P147</x:f>
        <x:v>4</x:v>
      </x:c>
      <x:c r="AP35" s="42"/>
    </x:row>
    <x:row r="36" ht="80" hidden="0" customHeight="1">
      <x:c r="A36" s="43" t="n">
        <x:f aca="0">Strategy!$E$3+57</x:f>
        <x:v>46385.5</x:v>
      </x:c>
      <x:c r="B36" s="44" t="s">
        <x:v>51</x:v>
      </x:c>
      <x:c r="C36" s="84" t="str">
        <x:v>Easy movement; rest 60 sec.
A) Wrist/shoulder mobility: 1 x 120 sec
B) Easy handstand walk: 3 x 2 m
C) Easy bear crawl: 3 x 20 sec</x:v>
      </x:c>
      <x:c r="D36" s="44" t="str">
        <x:v>Optional movement practice</x:v>
      </x:c>
      <x:c r="E36" s="44" t="n">
        <x:v>10</x:v>
      </x:c>
      <x:c r="F36" s="45"/>
      <x:c r="G36" s="46" t="b">
        <x:f aca="0">FALSE()</x:f>
        <x:v>0</x:v>
      </x:c>
      <x:c r="H36" s="76" t="n">
        <x:v>0.001388888888888889</x:v>
      </x:c>
      <x:c r="I36" s="76"/>
      <x:c r="J36" s="76"/>
      <x:c r="K36" s="76"/>
      <x:c r="L36" s="76"/>
      <x:c r="M36" s="75"/>
      <x:c r="N36" s="77" t="n">
        <x:v>2</x:v>
      </x:c>
      <x:c r="O36" s="77" t="n">
        <x:v>2</x:v>
      </x:c>
      <x:c r="P36" s="77" t="n">
        <x:v>2</x:v>
      </x:c>
      <x:c r="Q36" s="77"/>
      <x:c r="R36" s="77"/>
      <x:c r="S36" s="75"/>
      <x:c r="T36" s="76" t="n">
        <x:v>0.0002314814814814815</x:v>
      </x:c>
      <x:c r="U36" s="76" t="n">
        <x:v>0.0002314814814814815</x:v>
      </x:c>
      <x:c r="V36" s="76" t="n">
        <x:v>0.0002314814814814815</x:v>
      </x:c>
      <x:c r="W36" s="76"/>
      <x:c r="X36" s="76"/>
      <x:c r="Y36" s="75"/>
      <x:c r="Z36" s="74"/>
      <x:c r="AA36" s="74"/>
      <x:c r="AB36" s="74"/>
      <x:c r="AC36" s="74"/>
      <x:c r="AD36" s="74"/>
      <x:c r="AE36" s="75"/>
      <x:c r="AF36" s="74"/>
      <x:c r="AG36" s="74"/>
      <x:c r="AH36" s="74"/>
      <x:c r="AI36" s="74"/>
      <x:c r="AJ36" s="74"/>
      <x:c r="AK36" s="75"/>
      <x:c r="AL36" s="75"/>
      <x:c r="AM36" s="50"/>
      <x:c r="AN36" s="51" t="s">
        <x:v>118</x:v>
      </x:c>
      <x:c r="AO36" s="52">
        <x:f>Scoring!P152</x:f>
        <x:v>1</x:v>
      </x:c>
      <x:c r="AP36" s="53"/>
    </x:row>
    <x:row r="37" ht="135" hidden="0" customHeight="1">
      <x:c r="A37" s="32" t="n">
        <x:f aca="0">Strategy!$E$3+58</x:f>
        <x:v>46386.5</x:v>
      </x:c>
      <x:c r="B37" s="33" t="s">
        <x:v>48</x:v>
      </x:c>
      <x:c r="C37" s="83" t="str">
        <x:f>"Warm-up: 8 min. Rest: 2–3 min strength; 90 sec legs; 60–90 sec handstand walks. Leave 1–2 reps in reserve."&amp;CHAR(10)&amp;Strategy!I29</x:f>
        <x:v>Warm-up: 8 min. Rest: 2–3 min strength; 90 sec legs; 60–90 sec handstand walks. Leave 1–2 reps in reserve.
A) Handstand walk: 3 x 3 m
B) Elevated pike push-up: 4 x 8
C) Pull-up: 4 x 6
D) Box pistol: 4 x 5/leg
E) Bar row: 4 x 12</x:v>
      </x:c>
      <x:c r="D37" s="33" t="str">
        <x:v>Handstand movement and strength</x:v>
      </x:c>
      <x:c r="E37" s="33" t="n">
        <x:v>80</x:v>
      </x:c>
      <x:c r="F37" s="35"/>
      <x:c r="G37" s="36" t="b">
        <x:f aca="0">FALSE()</x:f>
        <x:v>0</x:v>
      </x:c>
      <x:c r="H37" s="78" t="n">
        <x:v>3</x:v>
      </x:c>
      <x:c r="I37" s="78" t="n">
        <x:v>3</x:v>
      </x:c>
      <x:c r="J37" s="78" t="n">
        <x:v>3</x:v>
      </x:c>
      <x:c r="K37" s="78"/>
      <x:c r="L37" s="78"/>
      <x:c r="M37" s="73"/>
      <x:c r="N37" s="72" t="n">
        <x:v>8</x:v>
      </x:c>
      <x:c r="O37" s="72" t="n">
        <x:v>8</x:v>
      </x:c>
      <x:c r="P37" s="72" t="n">
        <x:v>8</x:v>
      </x:c>
      <x:c r="Q37" s="72" t="n">
        <x:v>8</x:v>
      </x:c>
      <x:c r="R37" s="72"/>
      <x:c r="S37" s="73"/>
      <x:c r="T37" s="72" t="n">
        <x:v>6</x:v>
      </x:c>
      <x:c r="U37" s="72" t="n">
        <x:v>6</x:v>
      </x:c>
      <x:c r="V37" s="72" t="n">
        <x:v>6</x:v>
      </x:c>
      <x:c r="W37" s="72" t="n">
        <x:v>6</x:v>
      </x:c>
      <x:c r="X37" s="72"/>
      <x:c r="Y37" s="73"/>
      <x:c r="Z37" s="72" t="n">
        <x:v>5</x:v>
      </x:c>
      <x:c r="AA37" s="72" t="n">
        <x:v>5</x:v>
      </x:c>
      <x:c r="AB37" s="72" t="n">
        <x:v>5</x:v>
      </x:c>
      <x:c r="AC37" s="72" t="n">
        <x:v>5</x:v>
      </x:c>
      <x:c r="AD37" s="72"/>
      <x:c r="AE37" s="73"/>
      <x:c r="AF37" s="72" t="n">
        <x:v>12</x:v>
      </x:c>
      <x:c r="AG37" s="72" t="n">
        <x:v>12</x:v>
      </x:c>
      <x:c r="AH37" s="72" t="n">
        <x:v>12</x:v>
      </x:c>
      <x:c r="AI37" s="72" t="n">
        <x:v>12</x:v>
      </x:c>
      <x:c r="AJ37" s="72"/>
      <x:c r="AK37" s="73"/>
      <x:c r="AL37" s="73"/>
      <x:c r="AM37" s="39"/>
      <x:c r="AN37" s="40" t="s">
        <x:v>118</x:v>
      </x:c>
      <x:c r="AO37" s="41">
        <x:f>Scoring!P155</x:f>
        <x:v>3.8</x:v>
      </x:c>
      <x:c r="AP37" s="42"/>
    </x:row>
    <x:row r="38" ht="135" hidden="0" customHeight="1">
      <x:c r="A38" s="43" t="n">
        <x:f aca="0">Strategy!$E$3+60</x:f>
        <x:v>46388.5</x:v>
      </x:c>
      <x:c r="B38" s="44" t="s">
        <x:v>51</x:v>
      </x:c>
      <x:c r="C38" s="84" t="str">
        <x:v>Warm-up: 8 min. Rest: 2–3 min strength; 90 sec legs; 60–90 sec handstand walks. Leave 1–2 reps in reserve.
A) Low-bar transition: 4 x 3
B) Handstand walk: 4 x 3 m
C) Straight-bar dip: 4 x 8
D) Elevated pike push-up: 4 x 8
Cal-Intervals: 5 rounds
Circuit: pull / Mike Tyson push-ups / squat / hanging core. 30 sec work + 20 sec rest.</x:v>
      </x:c>
      <x:c r="D38" s="44" t="str">
        <x:v>Muscle-up movement + Cal-Intervals</x:v>
      </x:c>
      <x:c r="E38" s="44" t="n">
        <x:v>85</x:v>
      </x:c>
      <x:c r="F38" s="45"/>
      <x:c r="G38" s="46" t="b">
        <x:f aca="0">FALSE()</x:f>
        <x:v>0</x:v>
      </x:c>
      <x:c r="H38" s="74" t="n">
        <x:v>3</x:v>
      </x:c>
      <x:c r="I38" s="74" t="n">
        <x:v>3</x:v>
      </x:c>
      <x:c r="J38" s="74" t="n">
        <x:v>3</x:v>
      </x:c>
      <x:c r="K38" s="74" t="n">
        <x:v>3</x:v>
      </x:c>
      <x:c r="L38" s="74"/>
      <x:c r="M38" s="75"/>
      <x:c r="N38" s="77" t="n">
        <x:v>3</x:v>
      </x:c>
      <x:c r="O38" s="77" t="n">
        <x:v>3</x:v>
      </x:c>
      <x:c r="P38" s="77" t="n">
        <x:v>3</x:v>
      </x:c>
      <x:c r="Q38" s="77" t="n">
        <x:v>3</x:v>
      </x:c>
      <x:c r="R38" s="77"/>
      <x:c r="S38" s="75"/>
      <x:c r="T38" s="74" t="n">
        <x:v>8</x:v>
      </x:c>
      <x:c r="U38" s="74" t="n">
        <x:v>8</x:v>
      </x:c>
      <x:c r="V38" s="74" t="n">
        <x:v>8</x:v>
      </x:c>
      <x:c r="W38" s="74" t="n">
        <x:v>8</x:v>
      </x:c>
      <x:c r="X38" s="74"/>
      <x:c r="Y38" s="75"/>
      <x:c r="Z38" s="74" t="n">
        <x:v>8</x:v>
      </x:c>
      <x:c r="AA38" s="74" t="n">
        <x:v>8</x:v>
      </x:c>
      <x:c r="AB38" s="74" t="n">
        <x:v>8</x:v>
      </x:c>
      <x:c r="AC38" s="74" t="n">
        <x:v>8</x:v>
      </x:c>
      <x:c r="AD38" s="74"/>
      <x:c r="AE38" s="75"/>
      <x:c r="AF38" s="74"/>
      <x:c r="AG38" s="74"/>
      <x:c r="AH38" s="74"/>
      <x:c r="AI38" s="74"/>
      <x:c r="AJ38" s="74"/>
      <x:c r="AK38" s="75"/>
      <x:c r="AL38" s="75" t="n">
        <x:v>5</x:v>
      </x:c>
      <x:c r="AM38" s="50"/>
      <x:c r="AN38" s="51" t="s">
        <x:v>118</x:v>
      </x:c>
      <x:c r="AO38" s="52">
        <x:f>Scoring!P160</x:f>
        <x:v>4.4</x:v>
      </x:c>
      <x:c r="AP38" s="53"/>
    </x:row>
    <x:row r="39" ht="135" hidden="0" customHeight="1">
      <x:c r="A39" s="32" t="n">
        <x:f aca="0">Strategy!$E$3+63</x:f>
        <x:v>46391.5</x:v>
      </x:c>
      <x:c r="B39" s="33" t="s">
        <x:v>45</x:v>
      </x:c>
      <x:c r="C39" s="83" t="str">
        <x:f>"Warm-up: 8 min. Rest: 2–3 min strength; 90 sec legs; 60–90 sec handstand walks. Leave 1–2 reps in reserve."&amp;CHAR(10)&amp;Strategy!H30</x:f>
        <x:v>Warm-up: 8 min. Rest: 2–3 min strength; 90 sec legs; 60–90 sec handstand walks. Leave 1–2 reps in reserve.
A) High pull: 4 x 3
B) Pull-up: 4 x 6
C) Parallel-bar dip: 4 x 12
D) Box pistol: 4 x 5/leg
E) Sliding hamstring curl: 3 x 10</x:v>
      </x:c>
      <x:c r="D39" s="33" t="str">
        <x:v>Pull and muscle-up strength</x:v>
      </x:c>
      <x:c r="E39" s="33" t="n">
        <x:v>80</x:v>
      </x:c>
      <x:c r="F39" s="35"/>
      <x:c r="G39" s="36" t="b">
        <x:f aca="0">FALSE()</x:f>
        <x:v>0</x:v>
      </x:c>
      <x:c r="H39" s="72" t="n">
        <x:v>3</x:v>
      </x:c>
      <x:c r="I39" s="72" t="n">
        <x:v>3</x:v>
      </x:c>
      <x:c r="J39" s="72" t="n">
        <x:v>3</x:v>
      </x:c>
      <x:c r="K39" s="72" t="n">
        <x:v>3</x:v>
      </x:c>
      <x:c r="L39" s="72"/>
      <x:c r="M39" s="73"/>
      <x:c r="N39" s="72" t="n">
        <x:v>6</x:v>
      </x:c>
      <x:c r="O39" s="72" t="n">
        <x:v>6</x:v>
      </x:c>
      <x:c r="P39" s="72" t="n">
        <x:v>6</x:v>
      </x:c>
      <x:c r="Q39" s="72" t="n">
        <x:v>6</x:v>
      </x:c>
      <x:c r="R39" s="72"/>
      <x:c r="S39" s="73"/>
      <x:c r="T39" s="72" t="n">
        <x:v>12</x:v>
      </x:c>
      <x:c r="U39" s="72" t="n">
        <x:v>12</x:v>
      </x:c>
      <x:c r="V39" s="72" t="n">
        <x:v>12</x:v>
      </x:c>
      <x:c r="W39" s="72" t="n">
        <x:v>12</x:v>
      </x:c>
      <x:c r="X39" s="72"/>
      <x:c r="Y39" s="73"/>
      <x:c r="Z39" s="72" t="n">
        <x:v>5</x:v>
      </x:c>
      <x:c r="AA39" s="72" t="n">
        <x:v>5</x:v>
      </x:c>
      <x:c r="AB39" s="72" t="n">
        <x:v>5</x:v>
      </x:c>
      <x:c r="AC39" s="72" t="n">
        <x:v>5</x:v>
      </x:c>
      <x:c r="AD39" s="72"/>
      <x:c r="AE39" s="73"/>
      <x:c r="AF39" s="72" t="n">
        <x:v>10</x:v>
      </x:c>
      <x:c r="AG39" s="72" t="n">
        <x:v>10</x:v>
      </x:c>
      <x:c r="AH39" s="72" t="n">
        <x:v>10</x:v>
      </x:c>
      <x:c r="AI39" s="72"/>
      <x:c r="AJ39" s="72"/>
      <x:c r="AK39" s="73"/>
      <x:c r="AL39" s="73"/>
      <x:c r="AM39" s="39"/>
      <x:c r="AN39" s="40" t="s">
        <x:v>118</x:v>
      </x:c>
      <x:c r="AO39" s="41">
        <x:f>Scoring!P165</x:f>
        <x:v>4</x:v>
      </x:c>
      <x:c r="AP39" s="42"/>
    </x:row>
    <x:row r="40" ht="80" hidden="0" customHeight="1">
      <x:c r="A40" s="43" t="n">
        <x:f aca="0">Strategy!$E$3+64</x:f>
        <x:v>46392.5</x:v>
      </x:c>
      <x:c r="B40" s="44" t="s">
        <x:v>51</x:v>
      </x:c>
      <x:c r="C40" s="84" t="str">
        <x:v>Easy movement; rest 60 sec.
A) Wrist/shoulder mobility: 1 x 120 sec
B) Easy handstand walk: 3 x 2 m
C) Easy bear crawl: 3 x 20 sec</x:v>
      </x:c>
      <x:c r="D40" s="44" t="str">
        <x:v>Optional movement practice</x:v>
      </x:c>
      <x:c r="E40" s="44" t="n">
        <x:v>10</x:v>
      </x:c>
      <x:c r="F40" s="45"/>
      <x:c r="G40" s="46" t="b">
        <x:f aca="0">FALSE()</x:f>
        <x:v>0</x:v>
      </x:c>
      <x:c r="H40" s="76" t="n">
        <x:v>0.001388888888888889</x:v>
      </x:c>
      <x:c r="I40" s="76"/>
      <x:c r="J40" s="76"/>
      <x:c r="K40" s="76"/>
      <x:c r="L40" s="76"/>
      <x:c r="M40" s="75"/>
      <x:c r="N40" s="77" t="n">
        <x:v>2</x:v>
      </x:c>
      <x:c r="O40" s="77" t="n">
        <x:v>2</x:v>
      </x:c>
      <x:c r="P40" s="77" t="n">
        <x:v>2</x:v>
      </x:c>
      <x:c r="Q40" s="77"/>
      <x:c r="R40" s="77"/>
      <x:c r="S40" s="75"/>
      <x:c r="T40" s="76" t="n">
        <x:v>0.0002314814814814815</x:v>
      </x:c>
      <x:c r="U40" s="76" t="n">
        <x:v>0.0002314814814814815</x:v>
      </x:c>
      <x:c r="V40" s="76" t="n">
        <x:v>0.0002314814814814815</x:v>
      </x:c>
      <x:c r="W40" s="76"/>
      <x:c r="X40" s="76"/>
      <x:c r="Y40" s="75"/>
      <x:c r="Z40" s="74"/>
      <x:c r="AA40" s="74"/>
      <x:c r="AB40" s="74"/>
      <x:c r="AC40" s="74"/>
      <x:c r="AD40" s="74"/>
      <x:c r="AE40" s="75"/>
      <x:c r="AF40" s="74"/>
      <x:c r="AG40" s="74"/>
      <x:c r="AH40" s="74"/>
      <x:c r="AI40" s="74"/>
      <x:c r="AJ40" s="74"/>
      <x:c r="AK40" s="75"/>
      <x:c r="AL40" s="75"/>
      <x:c r="AM40" s="50"/>
      <x:c r="AN40" s="51" t="s">
        <x:v>118</x:v>
      </x:c>
      <x:c r="AO40" s="52">
        <x:f>Scoring!P170</x:f>
        <x:v>1</x:v>
      </x:c>
      <x:c r="AP40" s="53"/>
    </x:row>
    <x:row r="41" ht="135" hidden="0" customHeight="1">
      <x:c r="A41" s="32" t="n">
        <x:f aca="0">Strategy!$E$3+65</x:f>
        <x:v>46393.5</x:v>
      </x:c>
      <x:c r="B41" s="33" t="s">
        <x:v>48</x:v>
      </x:c>
      <x:c r="C41" s="83" t="str">
        <x:f>"Warm-up: 8 min. Rest: 2–3 min strength; 90 sec legs; 60–90 sec handstand walks. Leave 1–2 reps in reserve."&amp;CHAR(10)&amp;Strategy!I30</x:f>
        <x:v>Warm-up: 8 min. Rest: 2–3 min strength; 90 sec legs; 60–90 sec handstand walks. Leave 1–2 reps in reserve.
A) Handstand walk: 3 x 3 m
B) Elevated pike push-up: 4 x 8
C) Pull-up: 4 x 6
D) Box pistol: 4 x 5/leg
E) Bar row: 4 x 12</x:v>
      </x:c>
      <x:c r="D41" s="33" t="str">
        <x:v>Handstand movement and strength</x:v>
      </x:c>
      <x:c r="E41" s="33" t="n">
        <x:v>80</x:v>
      </x:c>
      <x:c r="F41" s="35"/>
      <x:c r="G41" s="36" t="b">
        <x:f aca="0">FALSE()</x:f>
        <x:v>0</x:v>
      </x:c>
      <x:c r="H41" s="78" t="n">
        <x:v>3</x:v>
      </x:c>
      <x:c r="I41" s="78" t="n">
        <x:v>3</x:v>
      </x:c>
      <x:c r="J41" s="78" t="n">
        <x:v>3</x:v>
      </x:c>
      <x:c r="K41" s="78"/>
      <x:c r="L41" s="78"/>
      <x:c r="M41" s="73"/>
      <x:c r="N41" s="72" t="n">
        <x:v>8</x:v>
      </x:c>
      <x:c r="O41" s="72" t="n">
        <x:v>8</x:v>
      </x:c>
      <x:c r="P41" s="72" t="n">
        <x:v>8</x:v>
      </x:c>
      <x:c r="Q41" s="72" t="n">
        <x:v>8</x:v>
      </x:c>
      <x:c r="R41" s="72"/>
      <x:c r="S41" s="73"/>
      <x:c r="T41" s="72" t="n">
        <x:v>6</x:v>
      </x:c>
      <x:c r="U41" s="72" t="n">
        <x:v>6</x:v>
      </x:c>
      <x:c r="V41" s="72" t="n">
        <x:v>6</x:v>
      </x:c>
      <x:c r="W41" s="72" t="n">
        <x:v>6</x:v>
      </x:c>
      <x:c r="X41" s="72"/>
      <x:c r="Y41" s="73"/>
      <x:c r="Z41" s="72" t="n">
        <x:v>5</x:v>
      </x:c>
      <x:c r="AA41" s="72" t="n">
        <x:v>5</x:v>
      </x:c>
      <x:c r="AB41" s="72" t="n">
        <x:v>5</x:v>
      </x:c>
      <x:c r="AC41" s="72" t="n">
        <x:v>5</x:v>
      </x:c>
      <x:c r="AD41" s="72"/>
      <x:c r="AE41" s="73"/>
      <x:c r="AF41" s="72" t="n">
        <x:v>12</x:v>
      </x:c>
      <x:c r="AG41" s="72" t="n">
        <x:v>12</x:v>
      </x:c>
      <x:c r="AH41" s="72" t="n">
        <x:v>12</x:v>
      </x:c>
      <x:c r="AI41" s="72" t="n">
        <x:v>12</x:v>
      </x:c>
      <x:c r="AJ41" s="72"/>
      <x:c r="AK41" s="73"/>
      <x:c r="AL41" s="73"/>
      <x:c r="AM41" s="39"/>
      <x:c r="AN41" s="40" t="s">
        <x:v>118</x:v>
      </x:c>
      <x:c r="AO41" s="41">
        <x:f>Scoring!P173</x:f>
        <x:v>3.8</x:v>
      </x:c>
      <x:c r="AP41" s="42"/>
    </x:row>
    <x:row r="42" ht="135" hidden="0" customHeight="1">
      <x:c r="A42" s="43" t="n">
        <x:f aca="0">Strategy!$E$3+67</x:f>
        <x:v>46395.5</x:v>
      </x:c>
      <x:c r="B42" s="44" t="s">
        <x:v>51</x:v>
      </x:c>
      <x:c r="C42" s="84" t="str">
        <x:v>Warm-up: 8 min. Rest: 2–3 min strength; 90 sec legs; 60–90 sec handstand walks. Leave 1–2 reps in reserve.
A) Low-bar transition: 4 x 3
B) Handstand walk: 4 x 3 m
C) Straight-bar dip: 4 x 8
D) Elevated pike push-up: 4 x 8
Cal-Intervals: 5 rounds
Circuit: pull / Mike Tyson push-ups / squat / hanging core. 30 sec work + 20 sec rest.</x:v>
      </x:c>
      <x:c r="D42" s="44" t="str">
        <x:v>Muscle-up movement + Cal-Intervals</x:v>
      </x:c>
      <x:c r="E42" s="44" t="n">
        <x:v>85</x:v>
      </x:c>
      <x:c r="F42" s="45"/>
      <x:c r="G42" s="46" t="b">
        <x:f aca="0">FALSE()</x:f>
        <x:v>0</x:v>
      </x:c>
      <x:c r="H42" s="74" t="n">
        <x:v>3</x:v>
      </x:c>
      <x:c r="I42" s="74" t="n">
        <x:v>3</x:v>
      </x:c>
      <x:c r="J42" s="74" t="n">
        <x:v>3</x:v>
      </x:c>
      <x:c r="K42" s="74" t="n">
        <x:v>3</x:v>
      </x:c>
      <x:c r="L42" s="74"/>
      <x:c r="M42" s="75"/>
      <x:c r="N42" s="77" t="n">
        <x:v>3</x:v>
      </x:c>
      <x:c r="O42" s="77" t="n">
        <x:v>3</x:v>
      </x:c>
      <x:c r="P42" s="77" t="n">
        <x:v>3</x:v>
      </x:c>
      <x:c r="Q42" s="77" t="n">
        <x:v>3</x:v>
      </x:c>
      <x:c r="R42" s="77"/>
      <x:c r="S42" s="75"/>
      <x:c r="T42" s="74" t="n">
        <x:v>8</x:v>
      </x:c>
      <x:c r="U42" s="74" t="n">
        <x:v>8</x:v>
      </x:c>
      <x:c r="V42" s="74" t="n">
        <x:v>8</x:v>
      </x:c>
      <x:c r="W42" s="74" t="n">
        <x:v>8</x:v>
      </x:c>
      <x:c r="X42" s="74"/>
      <x:c r="Y42" s="75"/>
      <x:c r="Z42" s="74" t="n">
        <x:v>8</x:v>
      </x:c>
      <x:c r="AA42" s="74" t="n">
        <x:v>8</x:v>
      </x:c>
      <x:c r="AB42" s="74" t="n">
        <x:v>8</x:v>
      </x:c>
      <x:c r="AC42" s="74" t="n">
        <x:v>8</x:v>
      </x:c>
      <x:c r="AD42" s="74"/>
      <x:c r="AE42" s="75"/>
      <x:c r="AF42" s="74"/>
      <x:c r="AG42" s="74"/>
      <x:c r="AH42" s="74"/>
      <x:c r="AI42" s="74"/>
      <x:c r="AJ42" s="74"/>
      <x:c r="AK42" s="75"/>
      <x:c r="AL42" s="75" t="n">
        <x:v>5</x:v>
      </x:c>
      <x:c r="AM42" s="50"/>
      <x:c r="AN42" s="51" t="s">
        <x:v>118</x:v>
      </x:c>
      <x:c r="AO42" s="52">
        <x:f>Scoring!P178</x:f>
        <x:v>4.4</x:v>
      </x:c>
      <x:c r="AP42" s="53"/>
    </x:row>
    <x:row r="43" ht="135" hidden="0" customHeight="1">
      <x:c r="A43" s="32" t="n">
        <x:f aca="0">Strategy!$E$3+70</x:f>
        <x:v>46398.5</x:v>
      </x:c>
      <x:c r="B43" s="33" t="s">
        <x:v>45</x:v>
      </x:c>
      <x:c r="C43" s="83" t="str">
        <x:f>"Warm-up: 8 min. Rest: 2–3 min strength; 90 sec legs; 60–90 sec handstand walks. Leave 1–2 reps in reserve."&amp;CHAR(10)&amp;Strategy!H31</x:f>
        <x:v>Warm-up: 8 min. Rest: 2–3 min strength; 90 sec legs; 60–90 sec handstand walks. Leave 1–2 reps in reserve.
A) High pull: 4 x 3
B) Pull-up: 4 x 6
C) Parallel-bar dip: 4 x 12
D) Box pistol: 4 x 5/leg
E) Sliding hamstring curl: 3 x 10</x:v>
      </x:c>
      <x:c r="D43" s="33" t="str">
        <x:v>Pull and muscle-up strength</x:v>
      </x:c>
      <x:c r="E43" s="33" t="n">
        <x:v>80</x:v>
      </x:c>
      <x:c r="F43" s="35"/>
      <x:c r="G43" s="36" t="b">
        <x:f aca="0">FALSE()</x:f>
        <x:v>0</x:v>
      </x:c>
      <x:c r="H43" s="72" t="n">
        <x:v>3</x:v>
      </x:c>
      <x:c r="I43" s="72" t="n">
        <x:v>3</x:v>
      </x:c>
      <x:c r="J43" s="72" t="n">
        <x:v>3</x:v>
      </x:c>
      <x:c r="K43" s="72" t="n">
        <x:v>3</x:v>
      </x:c>
      <x:c r="L43" s="72"/>
      <x:c r="M43" s="73"/>
      <x:c r="N43" s="72" t="n">
        <x:v>6</x:v>
      </x:c>
      <x:c r="O43" s="72" t="n">
        <x:v>6</x:v>
      </x:c>
      <x:c r="P43" s="72" t="n">
        <x:v>6</x:v>
      </x:c>
      <x:c r="Q43" s="72" t="n">
        <x:v>6</x:v>
      </x:c>
      <x:c r="R43" s="72"/>
      <x:c r="S43" s="73"/>
      <x:c r="T43" s="72" t="n">
        <x:v>12</x:v>
      </x:c>
      <x:c r="U43" s="72" t="n">
        <x:v>12</x:v>
      </x:c>
      <x:c r="V43" s="72" t="n">
        <x:v>12</x:v>
      </x:c>
      <x:c r="W43" s="72" t="n">
        <x:v>12</x:v>
      </x:c>
      <x:c r="X43" s="72"/>
      <x:c r="Y43" s="73"/>
      <x:c r="Z43" s="72" t="n">
        <x:v>5</x:v>
      </x:c>
      <x:c r="AA43" s="72" t="n">
        <x:v>5</x:v>
      </x:c>
      <x:c r="AB43" s="72" t="n">
        <x:v>5</x:v>
      </x:c>
      <x:c r="AC43" s="72" t="n">
        <x:v>5</x:v>
      </x:c>
      <x:c r="AD43" s="72"/>
      <x:c r="AE43" s="73"/>
      <x:c r="AF43" s="72" t="n">
        <x:v>10</x:v>
      </x:c>
      <x:c r="AG43" s="72" t="n">
        <x:v>10</x:v>
      </x:c>
      <x:c r="AH43" s="72" t="n">
        <x:v>10</x:v>
      </x:c>
      <x:c r="AI43" s="72"/>
      <x:c r="AJ43" s="72"/>
      <x:c r="AK43" s="73"/>
      <x:c r="AL43" s="73"/>
      <x:c r="AM43" s="39"/>
      <x:c r="AN43" s="40" t="s">
        <x:v>118</x:v>
      </x:c>
      <x:c r="AO43" s="41">
        <x:f>Scoring!P183</x:f>
        <x:v>4</x:v>
      </x:c>
      <x:c r="AP43" s="42"/>
    </x:row>
    <x:row r="44" ht="80" hidden="0" customHeight="1">
      <x:c r="A44" s="43" t="n">
        <x:f aca="0">Strategy!$E$3+71</x:f>
        <x:v>46399.5</x:v>
      </x:c>
      <x:c r="B44" s="44" t="s">
        <x:v>51</x:v>
      </x:c>
      <x:c r="C44" s="84" t="str">
        <x:v>Easy movement; rest 60 sec.
A) Wrist/shoulder mobility: 1 x 120 sec
B) Easy handstand walk: 3 x 2 m
C) Easy bear crawl: 3 x 20 sec</x:v>
      </x:c>
      <x:c r="D44" s="44" t="str">
        <x:v>Optional movement practice</x:v>
      </x:c>
      <x:c r="E44" s="44" t="n">
        <x:v>10</x:v>
      </x:c>
      <x:c r="F44" s="45"/>
      <x:c r="G44" s="46" t="b">
        <x:f aca="0">FALSE()</x:f>
        <x:v>0</x:v>
      </x:c>
      <x:c r="H44" s="76" t="n">
        <x:v>0.001388888888888889</x:v>
      </x:c>
      <x:c r="I44" s="76"/>
      <x:c r="J44" s="76"/>
      <x:c r="K44" s="76"/>
      <x:c r="L44" s="76"/>
      <x:c r="M44" s="75"/>
      <x:c r="N44" s="77" t="n">
        <x:v>2</x:v>
      </x:c>
      <x:c r="O44" s="77" t="n">
        <x:v>2</x:v>
      </x:c>
      <x:c r="P44" s="77" t="n">
        <x:v>2</x:v>
      </x:c>
      <x:c r="Q44" s="77"/>
      <x:c r="R44" s="77"/>
      <x:c r="S44" s="75"/>
      <x:c r="T44" s="76" t="n">
        <x:v>0.0002314814814814815</x:v>
      </x:c>
      <x:c r="U44" s="76" t="n">
        <x:v>0.0002314814814814815</x:v>
      </x:c>
      <x:c r="V44" s="76" t="n">
        <x:v>0.0002314814814814815</x:v>
      </x:c>
      <x:c r="W44" s="76"/>
      <x:c r="X44" s="76"/>
      <x:c r="Y44" s="75"/>
      <x:c r="Z44" s="74"/>
      <x:c r="AA44" s="74"/>
      <x:c r="AB44" s="74"/>
      <x:c r="AC44" s="74"/>
      <x:c r="AD44" s="74"/>
      <x:c r="AE44" s="75"/>
      <x:c r="AF44" s="74"/>
      <x:c r="AG44" s="74"/>
      <x:c r="AH44" s="74"/>
      <x:c r="AI44" s="74"/>
      <x:c r="AJ44" s="74"/>
      <x:c r="AK44" s="75"/>
      <x:c r="AL44" s="75"/>
      <x:c r="AM44" s="50"/>
      <x:c r="AN44" s="51" t="s">
        <x:v>118</x:v>
      </x:c>
      <x:c r="AO44" s="52">
        <x:f>Scoring!P188</x:f>
        <x:v>1</x:v>
      </x:c>
      <x:c r="AP44" s="53"/>
    </x:row>
    <x:row r="45" ht="135" hidden="0" customHeight="1">
      <x:c r="A45" s="32" t="n">
        <x:f aca="0">Strategy!$E$3+72</x:f>
        <x:v>46400.5</x:v>
      </x:c>
      <x:c r="B45" s="33" t="s">
        <x:v>48</x:v>
      </x:c>
      <x:c r="C45" s="83" t="str">
        <x:f>"Warm-up: 8 min. Rest: 2–3 min strength; 90 sec legs; 60–90 sec handstand walks. Leave 1–2 reps in reserve."&amp;CHAR(10)&amp;Strategy!I31</x:f>
        <x:v>Warm-up: 8 min. Rest: 2–3 min strength; 90 sec legs; 60–90 sec handstand walks. Leave 1–2 reps in reserve.
A) Handstand walk: 3 x 3 m
B) Elevated pike push-up: 4 x 8
C) Pull-up: 4 x 6
D) Box pistol: 4 x 5/leg
E) Bar row: 4 x 12</x:v>
      </x:c>
      <x:c r="D45" s="33" t="str">
        <x:v>Handstand movement and strength</x:v>
      </x:c>
      <x:c r="E45" s="33" t="n">
        <x:v>80</x:v>
      </x:c>
      <x:c r="F45" s="35"/>
      <x:c r="G45" s="36" t="b">
        <x:f aca="0">FALSE()</x:f>
        <x:v>0</x:v>
      </x:c>
      <x:c r="H45" s="78" t="n">
        <x:v>3</x:v>
      </x:c>
      <x:c r="I45" s="78" t="n">
        <x:v>3</x:v>
      </x:c>
      <x:c r="J45" s="78" t="n">
        <x:v>3</x:v>
      </x:c>
      <x:c r="K45" s="78"/>
      <x:c r="L45" s="78"/>
      <x:c r="M45" s="73"/>
      <x:c r="N45" s="72" t="n">
        <x:v>8</x:v>
      </x:c>
      <x:c r="O45" s="72" t="n">
        <x:v>8</x:v>
      </x:c>
      <x:c r="P45" s="72" t="n">
        <x:v>8</x:v>
      </x:c>
      <x:c r="Q45" s="72" t="n">
        <x:v>8</x:v>
      </x:c>
      <x:c r="R45" s="72"/>
      <x:c r="S45" s="73"/>
      <x:c r="T45" s="72" t="n">
        <x:v>6</x:v>
      </x:c>
      <x:c r="U45" s="72" t="n">
        <x:v>6</x:v>
      </x:c>
      <x:c r="V45" s="72" t="n">
        <x:v>6</x:v>
      </x:c>
      <x:c r="W45" s="72" t="n">
        <x:v>6</x:v>
      </x:c>
      <x:c r="X45" s="72"/>
      <x:c r="Y45" s="73"/>
      <x:c r="Z45" s="72" t="n">
        <x:v>5</x:v>
      </x:c>
      <x:c r="AA45" s="72" t="n">
        <x:v>5</x:v>
      </x:c>
      <x:c r="AB45" s="72" t="n">
        <x:v>5</x:v>
      </x:c>
      <x:c r="AC45" s="72" t="n">
        <x:v>5</x:v>
      </x:c>
      <x:c r="AD45" s="72"/>
      <x:c r="AE45" s="73"/>
      <x:c r="AF45" s="72" t="n">
        <x:v>12</x:v>
      </x:c>
      <x:c r="AG45" s="72" t="n">
        <x:v>12</x:v>
      </x:c>
      <x:c r="AH45" s="72" t="n">
        <x:v>12</x:v>
      </x:c>
      <x:c r="AI45" s="72" t="n">
        <x:v>12</x:v>
      </x:c>
      <x:c r="AJ45" s="72"/>
      <x:c r="AK45" s="73"/>
      <x:c r="AL45" s="73"/>
      <x:c r="AM45" s="39"/>
      <x:c r="AN45" s="40" t="s">
        <x:v>118</x:v>
      </x:c>
      <x:c r="AO45" s="41">
        <x:f>Scoring!P191</x:f>
        <x:v>3.8</x:v>
      </x:c>
      <x:c r="AP45" s="42"/>
    </x:row>
    <x:row r="46" ht="135" hidden="0" customHeight="1">
      <x:c r="A46" s="43" t="n">
        <x:f aca="0">Strategy!$E$3+74</x:f>
        <x:v>46402.5</x:v>
      </x:c>
      <x:c r="B46" s="44" t="s">
        <x:v>51</x:v>
      </x:c>
      <x:c r="C46" s="84" t="str">
        <x:v>Warm-up: 8 min. Rest: 2–3 min strength; 90 sec legs; 60–90 sec handstand walks. Leave 1–2 reps in reserve.
A) Low-bar transition: 4 x 3
B) Handstand walk: 4 x 3 m
C) Straight-bar dip: 4 x 8
D) Elevated pike push-up: 4 x 8
Cal-Intervals: 5 rounds
Circuit: pull / Mike Tyson push-ups / squat / hanging core. 30 sec work + 20 sec rest.</x:v>
      </x:c>
      <x:c r="D46" s="44" t="str">
        <x:v>Muscle-up movement + Cal-Intervals</x:v>
      </x:c>
      <x:c r="E46" s="44" t="n">
        <x:v>85</x:v>
      </x:c>
      <x:c r="F46" s="45"/>
      <x:c r="G46" s="46" t="b">
        <x:f aca="0">FALSE()</x:f>
        <x:v>0</x:v>
      </x:c>
      <x:c r="H46" s="74" t="n">
        <x:v>3</x:v>
      </x:c>
      <x:c r="I46" s="74" t="n">
        <x:v>3</x:v>
      </x:c>
      <x:c r="J46" s="74" t="n">
        <x:v>3</x:v>
      </x:c>
      <x:c r="K46" s="74" t="n">
        <x:v>3</x:v>
      </x:c>
      <x:c r="L46" s="74"/>
      <x:c r="M46" s="75"/>
      <x:c r="N46" s="77" t="n">
        <x:v>3</x:v>
      </x:c>
      <x:c r="O46" s="77" t="n">
        <x:v>3</x:v>
      </x:c>
      <x:c r="P46" s="77" t="n">
        <x:v>3</x:v>
      </x:c>
      <x:c r="Q46" s="77" t="n">
        <x:v>3</x:v>
      </x:c>
      <x:c r="R46" s="77"/>
      <x:c r="S46" s="75"/>
      <x:c r="T46" s="74" t="n">
        <x:v>8</x:v>
      </x:c>
      <x:c r="U46" s="74" t="n">
        <x:v>8</x:v>
      </x:c>
      <x:c r="V46" s="74" t="n">
        <x:v>8</x:v>
      </x:c>
      <x:c r="W46" s="74" t="n">
        <x:v>8</x:v>
      </x:c>
      <x:c r="X46" s="74"/>
      <x:c r="Y46" s="75"/>
      <x:c r="Z46" s="74" t="n">
        <x:v>8</x:v>
      </x:c>
      <x:c r="AA46" s="74" t="n">
        <x:v>8</x:v>
      </x:c>
      <x:c r="AB46" s="74" t="n">
        <x:v>8</x:v>
      </x:c>
      <x:c r="AC46" s="74" t="n">
        <x:v>8</x:v>
      </x:c>
      <x:c r="AD46" s="74"/>
      <x:c r="AE46" s="75"/>
      <x:c r="AF46" s="74"/>
      <x:c r="AG46" s="74"/>
      <x:c r="AH46" s="74"/>
      <x:c r="AI46" s="74"/>
      <x:c r="AJ46" s="74"/>
      <x:c r="AK46" s="75"/>
      <x:c r="AL46" s="75" t="n">
        <x:v>5</x:v>
      </x:c>
      <x:c r="AM46" s="50"/>
      <x:c r="AN46" s="51" t="s">
        <x:v>118</x:v>
      </x:c>
      <x:c r="AO46" s="52">
        <x:f>Scoring!P196</x:f>
        <x:v>4.4</x:v>
      </x:c>
      <x:c r="AP46" s="53"/>
    </x:row>
    <x:row r="47" ht="135" hidden="0" customHeight="1">
      <x:c r="A47" s="32" t="n">
        <x:f aca="0">Strategy!$E$3+77</x:f>
        <x:v>46405.5</x:v>
      </x:c>
      <x:c r="B47" s="33" t="s">
        <x:v>45</x:v>
      </x:c>
      <x:c r="C47" s="83" t="str">
        <x:f>"Warm-up: 8 min. Test current progression; rest 3 min."&amp;CHAR(10)&amp;Strategy!H32</x:f>
        <x:v>Warm-up: 8 min. Test current progression; rest 3 min.
A) Muscle-up test: 3 x 1
B) Pull-up: 2 x 6
C) Parallel-bar dip: 2 x 12
D) Pistol test: 1 x 5/leg
E) Sliding hamstring curl: 1 x 10</x:v>
      </x:c>
      <x:c r="D47" s="33" t="str">
        <x:v>Pull and muscle-up strength</x:v>
      </x:c>
      <x:c r="E47" s="33" t="n">
        <x:v>45</x:v>
      </x:c>
      <x:c r="F47" s="35"/>
      <x:c r="G47" s="36" t="b">
        <x:f aca="0">FALSE()</x:f>
        <x:v>0</x:v>
      </x:c>
      <x:c r="H47" s="72" t="n">
        <x:v>1</x:v>
      </x:c>
      <x:c r="I47" s="72" t="n">
        <x:v>1</x:v>
      </x:c>
      <x:c r="J47" s="72" t="n">
        <x:v>1</x:v>
      </x:c>
      <x:c r="K47" s="72"/>
      <x:c r="L47" s="72"/>
      <x:c r="M47" s="73"/>
      <x:c r="N47" s="72" t="n">
        <x:v>6</x:v>
      </x:c>
      <x:c r="O47" s="72" t="n">
        <x:v>6</x:v>
      </x:c>
      <x:c r="P47" s="72"/>
      <x:c r="Q47" s="72"/>
      <x:c r="R47" s="72"/>
      <x:c r="S47" s="73"/>
      <x:c r="T47" s="72" t="n">
        <x:v>12</x:v>
      </x:c>
      <x:c r="U47" s="72" t="n">
        <x:v>12</x:v>
      </x:c>
      <x:c r="V47" s="72"/>
      <x:c r="W47" s="72"/>
      <x:c r="X47" s="72"/>
      <x:c r="Y47" s="73"/>
      <x:c r="Z47" s="72" t="n">
        <x:v>5</x:v>
      </x:c>
      <x:c r="AA47" s="72"/>
      <x:c r="AB47" s="72"/>
      <x:c r="AC47" s="72"/>
      <x:c r="AD47" s="72"/>
      <x:c r="AE47" s="73"/>
      <x:c r="AF47" s="72" t="n">
        <x:v>10</x:v>
      </x:c>
      <x:c r="AG47" s="72"/>
      <x:c r="AH47" s="72"/>
      <x:c r="AI47" s="72"/>
      <x:c r="AJ47" s="72"/>
      <x:c r="AK47" s="73"/>
      <x:c r="AL47" s="73"/>
      <x:c r="AM47" s="39"/>
      <x:c r="AN47" s="40" t="s">
        <x:v>118</x:v>
      </x:c>
      <x:c r="AO47" s="41">
        <x:f>Scoring!P201</x:f>
        <x:v>6.2</x:v>
      </x:c>
      <x:c r="AP47" s="42"/>
    </x:row>
    <x:row r="48" ht="80" hidden="0" customHeight="1">
      <x:c r="A48" s="43" t="n">
        <x:f aca="0">Strategy!$E$3+78</x:f>
        <x:v>46406.5</x:v>
      </x:c>
      <x:c r="B48" s="44" t="s">
        <x:v>51</x:v>
      </x:c>
      <x:c r="C48" s="84" t="str">
        <x:v>Easy movement; rest 60 sec.
A) Wrist/shoulder mobility: 1 x 120 sec
B) Easy handstand walk: 3 x 2 m
C) Easy bear crawl: 3 x 20 sec</x:v>
      </x:c>
      <x:c r="D48" s="44" t="str">
        <x:v>Optional movement practice</x:v>
      </x:c>
      <x:c r="E48" s="44" t="n">
        <x:v>10</x:v>
      </x:c>
      <x:c r="F48" s="45"/>
      <x:c r="G48" s="46" t="b">
        <x:f aca="0">FALSE()</x:f>
        <x:v>0</x:v>
      </x:c>
      <x:c r="H48" s="76" t="n">
        <x:v>0.001388888888888889</x:v>
      </x:c>
      <x:c r="I48" s="76"/>
      <x:c r="J48" s="76"/>
      <x:c r="K48" s="76"/>
      <x:c r="L48" s="76"/>
      <x:c r="M48" s="75"/>
      <x:c r="N48" s="77" t="n">
        <x:v>2</x:v>
      </x:c>
      <x:c r="O48" s="77" t="n">
        <x:v>2</x:v>
      </x:c>
      <x:c r="P48" s="77" t="n">
        <x:v>2</x:v>
      </x:c>
      <x:c r="Q48" s="77"/>
      <x:c r="R48" s="77"/>
      <x:c r="S48" s="75"/>
      <x:c r="T48" s="76" t="n">
        <x:v>0.0002314814814814815</x:v>
      </x:c>
      <x:c r="U48" s="76" t="n">
        <x:v>0.0002314814814814815</x:v>
      </x:c>
      <x:c r="V48" s="76" t="n">
        <x:v>0.0002314814814814815</x:v>
      </x:c>
      <x:c r="W48" s="76"/>
      <x:c r="X48" s="76"/>
      <x:c r="Y48" s="75"/>
      <x:c r="Z48" s="74"/>
      <x:c r="AA48" s="74"/>
      <x:c r="AB48" s="74"/>
      <x:c r="AC48" s="74"/>
      <x:c r="AD48" s="74"/>
      <x:c r="AE48" s="75"/>
      <x:c r="AF48" s="74"/>
      <x:c r="AG48" s="74"/>
      <x:c r="AH48" s="74"/>
      <x:c r="AI48" s="74"/>
      <x:c r="AJ48" s="74"/>
      <x:c r="AK48" s="75"/>
      <x:c r="AL48" s="75"/>
      <x:c r="AM48" s="50"/>
      <x:c r="AN48" s="51" t="s">
        <x:v>118</x:v>
      </x:c>
      <x:c r="AO48" s="52">
        <x:f>Scoring!P206</x:f>
        <x:v>1</x:v>
      </x:c>
      <x:c r="AP48" s="53"/>
    </x:row>
    <x:row r="49" ht="135" hidden="0" customHeight="1">
      <x:c r="A49" s="32" t="n">
        <x:f aca="0">Strategy!$E$3+79</x:f>
        <x:v>46407.5</x:v>
      </x:c>
      <x:c r="B49" s="33" t="s">
        <x:v>48</x:v>
      </x:c>
      <x:c r="C49" s="83" t="str">
        <x:f>"Warm-up: 8 min. Test current progression; rest 3 min."&amp;CHAR(10)&amp;Strategy!I32</x:f>
        <x:v>Warm-up: 8 min. Test current progression; rest 3 min.
A) Handstand walk test: 3 x 4 m
B) Wall HSPU test: 1 x 3
C) Pull-up: 1 x 6
D) Box pistol: 1 x 5/leg
E) Bar row: 1 x 12</x:v>
      </x:c>
      <x:c r="D49" s="33" t="str">
        <x:v>Handstand movement and strength</x:v>
      </x:c>
      <x:c r="E49" s="33" t="n">
        <x:v>40</x:v>
      </x:c>
      <x:c r="F49" s="35"/>
      <x:c r="G49" s="36" t="b">
        <x:f aca="0">FALSE()</x:f>
        <x:v>0</x:v>
      </x:c>
      <x:c r="H49" s="78" t="n">
        <x:v>4</x:v>
      </x:c>
      <x:c r="I49" s="78" t="n">
        <x:v>4</x:v>
      </x:c>
      <x:c r="J49" s="78" t="n">
        <x:v>4</x:v>
      </x:c>
      <x:c r="K49" s="78"/>
      <x:c r="L49" s="78"/>
      <x:c r="M49" s="73"/>
      <x:c r="N49" s="72" t="n">
        <x:v>3</x:v>
      </x:c>
      <x:c r="O49" s="72"/>
      <x:c r="P49" s="72"/>
      <x:c r="Q49" s="72"/>
      <x:c r="R49" s="72"/>
      <x:c r="S49" s="73"/>
      <x:c r="T49" s="72" t="n">
        <x:v>6</x:v>
      </x:c>
      <x:c r="U49" s="72"/>
      <x:c r="V49" s="72"/>
      <x:c r="W49" s="72"/>
      <x:c r="X49" s="72"/>
      <x:c r="Y49" s="73"/>
      <x:c r="Z49" s="72" t="n">
        <x:v>5</x:v>
      </x:c>
      <x:c r="AA49" s="72"/>
      <x:c r="AB49" s="72"/>
      <x:c r="AC49" s="72"/>
      <x:c r="AD49" s="72"/>
      <x:c r="AE49" s="73"/>
      <x:c r="AF49" s="72" t="n">
        <x:v>12</x:v>
      </x:c>
      <x:c r="AG49" s="72"/>
      <x:c r="AH49" s="72"/>
      <x:c r="AI49" s="72"/>
      <x:c r="AJ49" s="72"/>
      <x:c r="AK49" s="73"/>
      <x:c r="AL49" s="73"/>
      <x:c r="AM49" s="39"/>
      <x:c r="AN49" s="40" t="s">
        <x:v>118</x:v>
      </x:c>
      <x:c r="AO49" s="41">
        <x:f>Scoring!P209</x:f>
        <x:v>4.1</x:v>
      </x:c>
      <x:c r="AP49" s="42"/>
    </x:row>
    <x:row r="50" ht="135" hidden="0" customHeight="1">
      <x:c r="A50" s="43" t="n">
        <x:f aca="0">Strategy!$E$3+81</x:f>
        <x:v>46409.5</x:v>
      </x:c>
      <x:c r="B50" s="44" t="s">
        <x:v>51</x:v>
      </x:c>
      <x:c r="C50" s="84" t="str">
        <x:v>Warm-up: 8 min. Test current progression; rest 3 min.
A) Low-bar transition: 2 x 3
B) Handstand walk: 2 x 3 m
C) Straight-bar dip: 2 x 8
D) Elevated pike push-up: 2 x 8
Cal-Intervals: 2 rounds
Circuit: pull / Mike Tyson push-ups / squat / hanging core. 30 sec work + 20 sec rest.</x:v>
      </x:c>
      <x:c r="D50" s="44" t="str">
        <x:v>Muscle-up movement + Cal-Intervals</x:v>
      </x:c>
      <x:c r="E50" s="44" t="n">
        <x:v>40</x:v>
      </x:c>
      <x:c r="F50" s="45"/>
      <x:c r="G50" s="46" t="b">
        <x:f aca="0">FALSE()</x:f>
        <x:v>0</x:v>
      </x:c>
      <x:c r="H50" s="74" t="n">
        <x:v>3</x:v>
      </x:c>
      <x:c r="I50" s="74" t="n">
        <x:v>3</x:v>
      </x:c>
      <x:c r="J50" s="74"/>
      <x:c r="K50" s="74"/>
      <x:c r="L50" s="74"/>
      <x:c r="M50" s="75"/>
      <x:c r="N50" s="77" t="n">
        <x:v>3</x:v>
      </x:c>
      <x:c r="O50" s="77" t="n">
        <x:v>3</x:v>
      </x:c>
      <x:c r="P50" s="77"/>
      <x:c r="Q50" s="77"/>
      <x:c r="R50" s="77"/>
      <x:c r="S50" s="75"/>
      <x:c r="T50" s="74" t="n">
        <x:v>8</x:v>
      </x:c>
      <x:c r="U50" s="74" t="n">
        <x:v>8</x:v>
      </x:c>
      <x:c r="V50" s="74"/>
      <x:c r="W50" s="74"/>
      <x:c r="X50" s="74"/>
      <x:c r="Y50" s="75"/>
      <x:c r="Z50" s="74" t="n">
        <x:v>8</x:v>
      </x:c>
      <x:c r="AA50" s="74" t="n">
        <x:v>8</x:v>
      </x:c>
      <x:c r="AB50" s="74"/>
      <x:c r="AC50" s="74"/>
      <x:c r="AD50" s="74"/>
      <x:c r="AE50" s="75"/>
      <x:c r="AF50" s="74"/>
      <x:c r="AG50" s="74"/>
      <x:c r="AH50" s="74"/>
      <x:c r="AI50" s="74"/>
      <x:c r="AJ50" s="74"/>
      <x:c r="AK50" s="75"/>
      <x:c r="AL50" s="75" t="n">
        <x:v>2</x:v>
      </x:c>
      <x:c r="AM50" s="50"/>
      <x:c r="AN50" s="51" t="s">
        <x:v>118</x:v>
      </x:c>
      <x:c r="AO50" s="52">
        <x:f>Scoring!P214</x:f>
        <x:v>4.4</x:v>
      </x:c>
      <x:c r="AP50" s="53"/>
    </x:row>
  </x:sheetData>
  <x:mergeCells>
    <x:mergeCell ref="A1:G1"/>
    <x:mergeCell ref="H1:M1"/>
    <x:mergeCell ref="N1:S1"/>
    <x:mergeCell ref="T1:Y1"/>
    <x:mergeCell ref="Z1:AE1"/>
    <x:mergeCell ref="AF1:AK1"/>
    <x:mergeCell ref="AM1:AN1"/>
    <x:mergeCell ref="AO1:AP1"/>
  </x:mergeCells>
  <x:dataValidations count="8">
    <x:dataValidation type="list" errorStyle="stop" operator="between" allowBlank="0" showDropDown="0" showInputMessage="0" showErrorMessage="0" sqref="B3:B133">
      <x:formula1>"A,B,Technique,Empty"</x:formula1>
      <x:formula2>0</x:formula2>
    </x:dataValidation>
    <x:dataValidation type="list" errorStyle="stop" operator="between" allowBlank="0" showDropDown="0" showInputMessage="0" showErrorMessage="0" sqref="G3:G133">
      <x:formula1>"TRUE,FALSE"</x:formula1>
      <x:formula2>0</x:formula2>
    </x:dataValidation>
    <x:dataValidation type="list" errorStyle="stop" operator="between" allowBlank="0" showDropDown="0" showInputMessage="0" showErrorMessage="0" sqref="AB51:AB133">
      <x:formula1>"General,Muscle-up,HSPU,Pistol,Cal-Intervals,Skills A,Skills B,Technique,Swimming,Running"</x:formula1>
      <x:formula2>0</x:formula2>
    </x:dataValidation>
    <x:dataValidation type="list" errorStyle="stop" operator="between" allowBlank="0" showDropDown="0" showInputMessage="0" showErrorMessage="0" sqref="AD51:AD133">
      <x:formula1>"1,2,3,4,5"</x:formula1>
      <x:formula2>0</x:formula2>
    </x:dataValidation>
    <x:dataValidation type="decimal" errorStyle="stop" operator="greaterThanOrEqual" allowBlank="1" showDropDown="0" showInputMessage="0" showErrorMessage="0" sqref="M3:M133 S3:S133 Y3:Y133">
      <x:formula1>0</x:formula1>
      <x:formula2>0</x:formula2>
    </x:dataValidation>
    <x:dataValidation type="whole" errorStyle="stop" operator="greaterThanOrEqual" allowBlank="0" showDropDown="0" showInputMessage="0" showErrorMessage="0" sqref="AL3:AL50">
      <x:formula1>0</x:formula1>
      <x:formula2>0</x:formula2>
    </x:dataValidation>
    <x:dataValidation type="list" errorStyle="stop" operator="between" allowBlank="0" showDropDown="0" showInputMessage="0" showErrorMessage="0" sqref="AN3:AN50">
      <x:formula1>"General,Muscle-up,HSPU,Pistol,Cal-Intervals,Skills A,Skills B,Technique,Swimming,Running"</x:formula1>
      <x:formula2>0</x:formula2>
    </x:dataValidation>
    <x:dataValidation type="whole" errorStyle="stop" operator="between" allowBlank="0" showDropDown="0" showInputMessage="0" showErrorMessage="0" sqref="AP3:AP50">
      <x:formula1>1</x:formula1>
      <x:formula2>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96E68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1" width="15" hidden="0" customWidth="1"/>
    <x:col min="2" max="3" width="34" hidden="0" customWidth="1"/>
    <x:col min="4" max="19" width="15" hidden="0" customWidth="1"/>
    <x:col min="20" max="20" width="40" hidden="0" customWidth="1"/>
    <x:col min="21" max="21" width="13" hidden="0" customWidth="1"/>
    <x:col min="22" max="22" width="15" hidden="0" customWidth="1"/>
    <x:col min="23" max="24" width="14" hidden="0" customWidth="1"/>
    <x:col min="25" max="25" width="66" hidden="0" customWidth="1"/>
    <x:col min="26" max="28" width="18" hidden="0" customWidth="1"/>
  </x:cols>
  <x:sheetData>
    <x:row r="1" ht="15" hidden="0">
      <x:c r="A1" s="26" t="s">
        <x:v>119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55"/>
    </x:row>
    <x:row r="2" ht="44" hidden="0" customHeight="1">
      <x:c r="A2" s="56" t="s">
        <x:v>107</x:v>
      </x:c>
      <x:c r="B2" s="56" t="s">
        <x:v>102</x:v>
      </x:c>
      <x:c r="C2" s="56" t="s">
        <x:v>120</x:v>
      </x:c>
      <x:c r="D2" s="56" t="s">
        <x:v>121</x:v>
      </x:c>
      <x:c r="E2" s="56" t="s">
        <x:v>122</x:v>
      </x:c>
      <x:c r="F2" s="56" t="s">
        <x:v>123</x:v>
      </x:c>
      <x:c r="G2" s="56" t="s">
        <x:v>124</x:v>
      </x:c>
      <x:c r="H2" s="56" t="s">
        <x:v>125</x:v>
      </x:c>
      <x:c r="I2" s="56" t="s">
        <x:v>126</x:v>
      </x:c>
      <x:c r="J2" s="56" t="s">
        <x:v>127</x:v>
      </x:c>
      <x:c r="K2" s="56" t="s">
        <x:v>128</x:v>
      </x:c>
      <x:c r="L2" s="56" t="s">
        <x:v>129</x:v>
      </x:c>
      <x:c r="M2" s="56" t="s">
        <x:v>130</x:v>
      </x:c>
      <x:c r="N2" s="56" t="inlineStr">
        <x:is>
          <x:t>Set weight</x:t>
        </x:is>
      </x:c>
      <x:c r="O2" s="56" t="s">
        <x:v>132</x:v>
      </x:c>
      <x:c r="P2" s="56" t="s">
        <x:v>116</x:v>
      </x:c>
      <x:c r="Q2" s="56" t="s">
        <x:v>133</x:v>
      </x:c>
      <x:c r="R2" s="56" t="s">
        <x:v>134</x:v>
      </x:c>
      <x:c r="S2" s="56" t="s">
        <x:v>135</x:v>
      </x:c>
    </x:row>
    <x:row r="3" ht="24" hidden="0" customHeight="1">
      <x:c r="A3" s="79" t="n">
        <x:f aca="0">Daily!A3</x:f>
        <x:v>46328.5</x:v>
      </x:c>
      <x:c r="B3" s="16" t="str">
        <x:f aca="0">Daily!D3</x:f>
        <x:v>Pull and muscle-up strength</x:v>
      </x:c>
      <x:c r="C3" s="15" t="str">
        <x:v>High pull</x:v>
      </x:c>
      <x:c r="D3" s="15" t="str">
        <x:v>reps</x:v>
      </x:c>
      <x:c r="E3" s="15" t="n">
        <x:v>4</x:v>
      </x:c>
      <x:c r="F3" s="15" t="n">
        <x:v>3</x:v>
      </x:c>
      <x:c r="G3" s="15" t="n">
        <x:f aca="0">E3*F3</x:f>
        <x:v>12</x:v>
      </x:c>
      <x:c r="H3" s="15" t="str">
        <x:f aca="0">IF(AND(Daily!G3=TRUE,COUNT(Daily!H3,Daily!I3,Daily!J3,Daily!K3)&gt;0),SUM(Daily!H3,Daily!I3,Daily!J3,Daily!K3),"")</x:f>
      </x:c>
      <x:c r="I3" s="58" t="str">
        <x:f aca="0">IF(AND(ISNUMBER(H3),G3&gt;0),100*H3/G3,"")</x:f>
      </x:c>
      <x:c r="J3" s="58" t="n">
        <x:f aca="0">IF(COUNTIF(Library!$B$3:$B$58,C3)&lt;&gt;1,"",INDEX(Library!$D$3:$D$58,MATCH(C3,Library!$B$3:$B$58,0)))</x:f>
        <x:v>4</x:v>
      </x:c>
      <x:c r="K3" s="59" t="n">
        <x:f aca="0">Daily!M3</x:f>
        <x:v>0</x:v>
      </x:c>
      <x:c r="L3" s="60" t="n">
        <x:f aca="0">IF(COUNTIF(Library!$B$3:$B$58,C3)&lt;&gt;1,"",IF(COUNTIFS(Library!$B$3:$B$58,C3,Library!$E$3:$E$58,"&lt;&gt;")=0,0,INDEX(Library!$E$3:$E$58,MATCH(C3,Library!$B$3:$B$58,0))))</x:f>
        <x:v>0.04</x:v>
      </x:c>
      <x:c r="M3" s="58" t="n">
        <x:f aca="0">IF(COUNT(J3:L3)&lt;&gt;3,"",MIN(10,J3*(1+K3*L3)))</x:f>
        <x:v>4</x:v>
      </x:c>
      <x:c r="N3" s="58">
        <x:f>E3</x:f>
        <x:v>4</x:v>
      </x:c>
      <x:c r="O3" s="58">
        <x:f>IF(COUNT(M3:N3)&lt;&gt;2,"",M3*N3)</x:f>
        <x:v>16</x:v>
      </x:c>
      <x:c r="P3" s="58">
        <x:f>IF(COUNT(O3:O7)&lt;&gt;COUNT(N3:N7),"",ROUND(SUM(O3:O7)/SUM(N3:N7),1))</x:f>
        <x:v>4</x:v>
      </x:c>
      <x:c r="Q3" s="58" t="str">
        <x:f aca="0">IF(COUNT(I3:I7)=0,"",MEDIAN(I3:I7))</x:f>
      </x:c>
      <x:c r="R3" s="15" t="n">
        <x:f aca="0">COUNT(I3:I7)</x:f>
        <x:v>0</x:v>
      </x:c>
      <x:c r="S3" s="15" t="n">
        <x:v>5</x:v>
      </x:c>
    </x:row>
    <x:row r="4" ht="24" hidden="0" customHeight="1">
      <x:c r="A4" s="79" t="n">
        <x:f aca="0">Daily!A3</x:f>
        <x:v>46328.5</x:v>
      </x:c>
      <x:c r="B4" s="16" t="str">
        <x:f aca="0">Daily!D3</x:f>
        <x:v>Pull and muscle-up strength</x:v>
      </x:c>
      <x:c r="C4" s="15" t="str">
        <x:v>Pull-up</x:v>
      </x:c>
      <x:c r="D4" s="15" t="str">
        <x:v>reps</x:v>
      </x:c>
      <x:c r="E4" s="15" t="n">
        <x:v>4</x:v>
      </x:c>
      <x:c r="F4" s="15" t="n">
        <x:v>6</x:v>
      </x:c>
      <x:c r="G4" s="15" t="n">
        <x:f aca="0">E4*F4</x:f>
        <x:v>24</x:v>
      </x:c>
      <x:c r="H4" s="15" t="str">
        <x:f aca="0">IF(AND(Daily!G3=TRUE,COUNT(Daily!N3,Daily!O3,Daily!P3,Daily!Q3)&gt;0),SUM(Daily!N3,Daily!O3,Daily!P3,Daily!Q3),"")</x:f>
      </x:c>
      <x:c r="I4" s="58" t="str">
        <x:f aca="0">IF(AND(ISNUMBER(H4),G4&gt;0),100*H4/G4,"")</x:f>
      </x:c>
      <x:c r="J4" s="58" t="n">
        <x:f aca="0">IF(COUNTIF(Library!$B$3:$B$58,C4)&lt;&gt;1,"",INDEX(Library!$D$3:$D$58,MATCH(C4,Library!$B$3:$B$58,0)))</x:f>
        <x:v>6</x:v>
      </x:c>
      <x:c r="K4" s="59" t="n">
        <x:f aca="0">Daily!S3</x:f>
        <x:v>0</x:v>
      </x:c>
      <x:c r="L4" s="60" t="n">
        <x:f aca="0">IF(COUNTIF(Library!$B$3:$B$58,C4)&lt;&gt;1,"",IF(COUNTIFS(Library!$B$3:$B$58,C4,Library!$E$3:$E$58,"&lt;&gt;")=0,0,INDEX(Library!$E$3:$E$58,MATCH(C4,Library!$B$3:$B$58,0))))</x:f>
        <x:v>0.04</x:v>
      </x:c>
      <x:c r="M4" s="58" t="n">
        <x:f aca="0">IF(COUNT(J4:L4)&lt;&gt;3,"",MIN(10,J4*(1+K4*L4)))</x:f>
        <x:v>6</x:v>
      </x:c>
      <x:c r="N4" s="58">
        <x:f>E4</x:f>
        <x:v>4</x:v>
      </x:c>
      <x:c r="O4" s="58">
        <x:f>IF(COUNT(M4:N4)&lt;&gt;2,"",M4*N4)</x:f>
        <x:v>24</x:v>
      </x:c>
      <x:c r="P4" s="58"/>
      <x:c r="Q4" s="58"/>
      <x:c r="R4" s="15"/>
      <x:c r="S4" s="15"/>
    </x:row>
    <x:row r="5" ht="24" hidden="0" customHeight="1">
      <x:c r="A5" s="79" t="n">
        <x:f aca="0">Daily!A3</x:f>
        <x:v>46328.5</x:v>
      </x:c>
      <x:c r="B5" s="16" t="str">
        <x:f aca="0">Daily!D3</x:f>
        <x:v>Pull and muscle-up strength</x:v>
      </x:c>
      <x:c r="C5" s="15" t="str">
        <x:v>Parallel-bar dip</x:v>
      </x:c>
      <x:c r="D5" s="15" t="str">
        <x:v>reps</x:v>
      </x:c>
      <x:c r="E5" s="15" t="n">
        <x:v>4</x:v>
      </x:c>
      <x:c r="F5" s="15" t="n">
        <x:v>12</x:v>
      </x:c>
      <x:c r="G5" s="15" t="n">
        <x:f aca="0">E5*F5</x:f>
        <x:v>48</x:v>
      </x:c>
      <x:c r="H5" s="15" t="str">
        <x:f aca="0">IF(AND(Daily!G3=TRUE,COUNT(Daily!T3,Daily!U3,Daily!V3,Daily!W3)&gt;0),SUM(Daily!T3,Daily!U3,Daily!V3,Daily!W3),"")</x:f>
      </x:c>
      <x:c r="I5" s="58" t="str">
        <x:f aca="0">IF(AND(ISNUMBER(H5),G5&gt;0),100*H5/G5,"")</x:f>
      </x:c>
      <x:c r="J5" s="58" t="n">
        <x:f aca="0">IF(COUNTIF(Library!$B$3:$B$58,C5)&lt;&gt;1,"",INDEX(Library!$D$3:$D$58,MATCH(C5,Library!$B$3:$B$58,0)))</x:f>
        <x:v>4</x:v>
      </x:c>
      <x:c r="K5" s="59" t="n">
        <x:f aca="0">Daily!Y3</x:f>
        <x:v>0</x:v>
      </x:c>
      <x:c r="L5" s="60" t="n">
        <x:f aca="0">IF(COUNTIF(Library!$B$3:$B$58,C5)&lt;&gt;1,"",IF(COUNTIFS(Library!$B$3:$B$58,C5,Library!$E$3:$E$58,"&lt;&gt;")=0,0,INDEX(Library!$E$3:$E$58,MATCH(C5,Library!$B$3:$B$58,0))))</x:f>
        <x:v>0.02</x:v>
      </x:c>
      <x:c r="M5" s="58" t="n">
        <x:f aca="0">IF(COUNT(J5:L5)&lt;&gt;3,"",MIN(10,J5*(1+K5*L5)))</x:f>
        <x:v>4</x:v>
      </x:c>
      <x:c r="N5" s="58">
        <x:f>E5</x:f>
        <x:v>4</x:v>
      </x:c>
      <x:c r="O5" s="58">
        <x:f>IF(COUNT(M5:N5)&lt;&gt;2,"",M5*N5)</x:f>
        <x:v>16</x:v>
      </x:c>
      <x:c r="P5" s="58"/>
      <x:c r="Q5" s="58"/>
      <x:c r="R5" s="15"/>
      <x:c r="S5" s="15"/>
    </x:row>
    <x:row r="6" ht="24" hidden="0" customHeight="1">
      <x:c r="A6" s="79" t="n">
        <x:f aca="0">Daily!A3</x:f>
        <x:v>46328.5</x:v>
      </x:c>
      <x:c r="B6" s="16" t="str">
        <x:f aca="0">Daily!D3</x:f>
        <x:v>Pull and muscle-up strength</x:v>
      </x:c>
      <x:c r="C6" s="15" t="str">
        <x:v>Box pistol</x:v>
      </x:c>
      <x:c r="D6" s="15" t="str">
        <x:v>reps/leg</x:v>
      </x:c>
      <x:c r="E6" s="15" t="n">
        <x:v>4</x:v>
      </x:c>
      <x:c r="F6" s="15" t="n">
        <x:v>5</x:v>
      </x:c>
      <x:c r="G6" s="15" t="n">
        <x:f aca="0">E6*F6</x:f>
        <x:v>20</x:v>
      </x:c>
      <x:c r="H6" s="15" t="str">
        <x:f aca="0">IF(AND(Daily!G3=TRUE,COUNT(Daily!Z3,Daily!AA3,Daily!AB3,Daily!AC3)&gt;0),SUM(Daily!Z3,Daily!AA3,Daily!AB3,Daily!AC3),"")</x:f>
      </x:c>
      <x:c r="I6" s="58" t="str">
        <x:f aca="0">IF(AND(ISNUMBER(H6),G6&gt;0),100*H6/G6,"")</x:f>
      </x:c>
      <x:c r="J6" s="58" t="n">
        <x:f aca="0">IF(COUNTIF(Library!$B$3:$B$58,C6)&lt;&gt;1,"",INDEX(Library!$D$3:$D$58,MATCH(C6,Library!$B$3:$B$58,0)))</x:f>
        <x:v>2</x:v>
      </x:c>
      <x:c r="K6" s="59" t="n">
        <x:f aca="0">Daily!AE3</x:f>
        <x:v>0</x:v>
      </x:c>
      <x:c r="L6" s="60" t="n">
        <x:f aca="0">IF(COUNTIF(Library!$B$3:$B$58,C6)&lt;&gt;1,"",IF(COUNTIFS(Library!$B$3:$B$58,C6,Library!$E$3:$E$58,"&lt;&gt;")=0,0,INDEX(Library!$E$3:$E$58,MATCH(C6,Library!$B$3:$B$58,0))))</x:f>
        <x:v>0.03</x:v>
      </x:c>
      <x:c r="M6" s="58" t="n">
        <x:f aca="0">IF(COUNT(J6:L6)&lt;&gt;3,"",MIN(10,J6*(1+K6*L6)))</x:f>
        <x:v>2</x:v>
      </x:c>
      <x:c r="N6" s="58">
        <x:f>E6</x:f>
        <x:v>4</x:v>
      </x:c>
      <x:c r="O6" s="58">
        <x:f>IF(COUNT(M6:N6)&lt;&gt;2,"",M6*N6)</x:f>
        <x:v>8</x:v>
      </x:c>
      <x:c r="P6" s="58"/>
      <x:c r="Q6" s="58"/>
      <x:c r="R6" s="15"/>
      <x:c r="S6" s="15"/>
    </x:row>
    <x:row r="7" ht="24" hidden="0" customHeight="1">
      <x:c r="A7" s="79" t="n">
        <x:f aca="0">Daily!A3</x:f>
        <x:v>46328.5</x:v>
      </x:c>
      <x:c r="B7" s="16" t="str">
        <x:f aca="0">Daily!D3</x:f>
        <x:v>Pull and muscle-up strength</x:v>
      </x:c>
      <x:c r="C7" s="15" t="str">
        <x:v>Sliding hamstring curl</x:v>
      </x:c>
      <x:c r="D7" s="15" t="str">
        <x:v>reps</x:v>
      </x:c>
      <x:c r="E7" s="15" t="n">
        <x:v>3</x:v>
      </x:c>
      <x:c r="F7" s="15" t="n">
        <x:v>10</x:v>
      </x:c>
      <x:c r="G7" s="15" t="n">
        <x:f aca="0">E7*F7</x:f>
        <x:v>30</x:v>
      </x:c>
      <x:c r="H7" s="15" t="str">
        <x:f aca="0">IF(AND(Daily!G3=TRUE,COUNT(Daily!AF3,Daily!AG3,Daily!AH3)&gt;0),SUM(Daily!AF3,Daily!AG3,Daily!AH3),"")</x:f>
      </x:c>
      <x:c r="I7" s="58" t="str">
        <x:f aca="0">IF(AND(ISNUMBER(H7),G7&gt;0),100*H7/G7,"")</x:f>
      </x:c>
      <x:c r="J7" s="58" t="n">
        <x:f aca="0">IF(COUNTIF(Library!$B$3:$B$58,C7)&lt;&gt;1,"",INDEX(Library!$D$3:$D$58,MATCH(C7,Library!$B$3:$B$58,0)))</x:f>
        <x:v>4</x:v>
      </x:c>
      <x:c r="K7" s="59" t="n">
        <x:f aca="0">Daily!AK3</x:f>
        <x:v>0</x:v>
      </x:c>
      <x:c r="L7" s="60" t="n">
        <x:f aca="0">IF(COUNTIF(Library!$B$3:$B$58,C7)&lt;&gt;1,"",IF(COUNTIFS(Library!$B$3:$B$58,C7,Library!$E$3:$E$58,"&lt;&gt;")=0,0,INDEX(Library!$E$3:$E$58,MATCH(C7,Library!$B$3:$B$58,0))))</x:f>
        <x:v>0</x:v>
      </x:c>
      <x:c r="M7" s="58" t="n">
        <x:f aca="0">IF(COUNT(J7:L7)&lt;&gt;3,"",MIN(10,J7*(1+K7*L7)))</x:f>
        <x:v>4</x:v>
      </x:c>
      <x:c r="N7" s="58">
        <x:f>E7</x:f>
        <x:v>3</x:v>
      </x:c>
      <x:c r="O7" s="58">
        <x:f>IF(COUNT(M7:N7)&lt;&gt;2,"",M7*N7)</x:f>
        <x:v>12</x:v>
      </x:c>
      <x:c r="P7" s="58"/>
      <x:c r="Q7" s="58"/>
      <x:c r="R7" s="15"/>
      <x:c r="S7" s="15"/>
    </x:row>
    <x:row r="8" ht="24" hidden="0" customHeight="1">
      <x:c r="A8" s="79" t="n">
        <x:f aca="0">Daily!A4</x:f>
        <x:v>46329.5</x:v>
      </x:c>
      <x:c r="B8" s="16" t="str">
        <x:f aca="0">Daily!D4</x:f>
        <x:v>Optional movement practice</x:v>
      </x:c>
      <x:c r="C8" s="15" t="str">
        <x:v>Wrist/shoulder mobility</x:v>
      </x:c>
      <x:c r="D8" s="15" t="str">
        <x:v>seconds</x:v>
      </x:c>
      <x:c r="E8" s="15" t="n">
        <x:v>1</x:v>
      </x:c>
      <x:c r="F8" s="15" t="n">
        <x:v>120</x:v>
      </x:c>
      <x:c r="G8" s="15" t="n">
        <x:f aca="0">E8*F8</x:f>
        <x:v>120</x:v>
      </x:c>
      <x:c r="H8" s="15" t="str">
        <x:f aca="0">IF(AND(Daily!G4=TRUE,COUNT(Daily!H4)&gt;0),SUM(Daily!H4)*86400,"")</x:f>
      </x:c>
      <x:c r="I8" s="58" t="str">
        <x:f aca="0">IF(AND(ISNUMBER(H8),G8&gt;0),100*H8/G8,"")</x:f>
      </x:c>
      <x:c r="J8" s="58" t="n">
        <x:f aca="0">IF(COUNTIF(Library!$B$3:$B$58,C8)&lt;&gt;1,"",INDEX(Library!$D$3:$D$58,MATCH(C8,Library!$B$3:$B$58,0)))</x:f>
        <x:v>1</x:v>
      </x:c>
      <x:c r="K8" s="59" t="n">
        <x:f aca="0">Daily!M4</x:f>
        <x:v>0</x:v>
      </x:c>
      <x:c r="L8" s="60" t="n">
        <x:f aca="0">IF(COUNTIF(Library!$B$3:$B$58,C8)&lt;&gt;1,"",IF(COUNTIFS(Library!$B$3:$B$58,C8,Library!$E$3:$E$58,"&lt;&gt;")=0,0,INDEX(Library!$E$3:$E$58,MATCH(C8,Library!$B$3:$B$58,0))))</x:f>
        <x:v>0</x:v>
      </x:c>
      <x:c r="M8" s="58" t="n">
        <x:f aca="0">IF(COUNT(J8:L8)&lt;&gt;3,"",MIN(10,J8*(1+K8*L8)))</x:f>
        <x:v>1</x:v>
      </x:c>
      <x:c r="N8" s="58">
        <x:f>E8</x:f>
        <x:v>1</x:v>
      </x:c>
      <x:c r="O8" s="58">
        <x:f>IF(COUNT(M8:N8)&lt;&gt;2,"",M8*N8)</x:f>
        <x:v>1</x:v>
      </x:c>
      <x:c r="P8" s="58">
        <x:f>IF(COUNT(O8:O10)&lt;&gt;COUNT(N8:N10),"",ROUND(SUM(O8:O10)/SUM(N8:N10),1))</x:f>
        <x:v>1</x:v>
      </x:c>
      <x:c r="Q8" s="58" t="str">
        <x:f aca="0">IF(COUNT(I8:I10)=0,"",MEDIAN(I8:I10))</x:f>
      </x:c>
      <x:c r="R8" s="15" t="n">
        <x:f aca="0">COUNT(I8:I10)</x:f>
        <x:v>0</x:v>
      </x:c>
      <x:c r="S8" s="15" t="n">
        <x:v>3</x:v>
      </x:c>
    </x:row>
    <x:row r="9" ht="24" hidden="0" customHeight="1">
      <x:c r="A9" s="79" t="n">
        <x:f aca="0">Daily!A4</x:f>
        <x:v>46329.5</x:v>
      </x:c>
      <x:c r="B9" s="16" t="str">
        <x:f aca="0">Daily!D4</x:f>
        <x:v>Optional movement practice</x:v>
      </x:c>
      <x:c r="C9" s="15" t="str">
        <x:v>Easy handstand walk</x:v>
      </x:c>
      <x:c r="D9" s="15" t="str">
        <x:v>m</x:v>
      </x:c>
      <x:c r="E9" s="15" t="n">
        <x:v>3</x:v>
      </x:c>
      <x:c r="F9" s="15" t="n">
        <x:v>2</x:v>
      </x:c>
      <x:c r="G9" s="15" t="n">
        <x:f aca="0">E9*F9</x:f>
        <x:v>6</x:v>
      </x:c>
      <x:c r="H9" s="15" t="str">
        <x:f aca="0">IF(AND(Daily!G4=TRUE,COUNT(Daily!N4,Daily!O4,Daily!P4)&gt;0),SUM(Daily!N4,Daily!O4,Daily!P4),"")</x:f>
      </x:c>
      <x:c r="I9" s="58" t="str">
        <x:f aca="0">IF(AND(ISNUMBER(H9),G9&gt;0),100*H9/G9,"")</x:f>
      </x:c>
      <x:c r="J9" s="58" t="n">
        <x:f aca="0">IF(COUNTIF(Library!$B$3:$B$58,C9)&lt;&gt;1,"",INDEX(Library!$D$3:$D$58,MATCH(C9,Library!$B$3:$B$58,0)))</x:f>
        <x:v>1</x:v>
      </x:c>
      <x:c r="K9" s="59" t="n">
        <x:f aca="0">Daily!S4</x:f>
        <x:v>0</x:v>
      </x:c>
      <x:c r="L9" s="60" t="n">
        <x:f aca="0">IF(COUNTIF(Library!$B$3:$B$58,C9)&lt;&gt;1,"",IF(COUNTIFS(Library!$B$3:$B$58,C9,Library!$E$3:$E$58,"&lt;&gt;")=0,0,INDEX(Library!$E$3:$E$58,MATCH(C9,Library!$B$3:$B$58,0))))</x:f>
        <x:v>0</x:v>
      </x:c>
      <x:c r="M9" s="58" t="n">
        <x:f aca="0">IF(COUNT(J9:L9)&lt;&gt;3,"",MIN(10,J9*(1+K9*L9)))</x:f>
        <x:v>1</x:v>
      </x:c>
      <x:c r="N9" s="58">
        <x:f>E9</x:f>
        <x:v>3</x:v>
      </x:c>
      <x:c r="O9" s="58">
        <x:f>IF(COUNT(M9:N9)&lt;&gt;2,"",M9*N9)</x:f>
        <x:v>3</x:v>
      </x:c>
      <x:c r="P9" s="58"/>
      <x:c r="Q9" s="58"/>
      <x:c r="R9" s="15"/>
      <x:c r="S9" s="15"/>
    </x:row>
    <x:row r="10" ht="24" hidden="0" customHeight="1">
      <x:c r="A10" s="79" t="n">
        <x:f aca="0">Daily!A4</x:f>
        <x:v>46329.5</x:v>
      </x:c>
      <x:c r="B10" s="16" t="str">
        <x:f aca="0">Daily!D4</x:f>
        <x:v>Optional movement practice</x:v>
      </x:c>
      <x:c r="C10" s="15" t="str">
        <x:v>Easy bear crawl</x:v>
      </x:c>
      <x:c r="D10" s="15" t="str">
        <x:v>seconds</x:v>
      </x:c>
      <x:c r="E10" s="15" t="n">
        <x:v>3</x:v>
      </x:c>
      <x:c r="F10" s="15" t="n">
        <x:v>20</x:v>
      </x:c>
      <x:c r="G10" s="15" t="n">
        <x:f aca="0">E10*F10</x:f>
        <x:v>60</x:v>
      </x:c>
      <x:c r="H10" s="15" t="str">
        <x:f aca="0">IF(AND(Daily!G4=TRUE,COUNT(Daily!T4,Daily!U4,Daily!V4)&gt;0),SUM(Daily!T4,Daily!U4,Daily!V4)*86400,"")</x:f>
      </x:c>
      <x:c r="I10" s="58" t="str">
        <x:f aca="0">IF(AND(ISNUMBER(H10),G10&gt;0),100*H10/G10,"")</x:f>
      </x:c>
      <x:c r="J10" s="58" t="n">
        <x:f aca="0">IF(COUNTIF(Library!$B$3:$B$58,C10)&lt;&gt;1,"",INDEX(Library!$D$3:$D$58,MATCH(C10,Library!$B$3:$B$58,0)))</x:f>
        <x:v>1</x:v>
      </x:c>
      <x:c r="K10" s="59" t="n">
        <x:f aca="0">Daily!Y4</x:f>
        <x:v>0</x:v>
      </x:c>
      <x:c r="L10" s="60" t="n">
        <x:f aca="0">IF(COUNTIF(Library!$B$3:$B$58,C10)&lt;&gt;1,"",IF(COUNTIFS(Library!$B$3:$B$58,C10,Library!$E$3:$E$58,"&lt;&gt;")=0,0,INDEX(Library!$E$3:$E$58,MATCH(C10,Library!$B$3:$B$58,0))))</x:f>
        <x:v>0</x:v>
      </x:c>
      <x:c r="M10" s="58" t="n">
        <x:f aca="0">IF(COUNT(J10:L10)&lt;&gt;3,"",MIN(10,J10*(1+K10*L10)))</x:f>
        <x:v>1</x:v>
      </x:c>
      <x:c r="N10" s="58">
        <x:f>E10</x:f>
        <x:v>3</x:v>
      </x:c>
      <x:c r="O10" s="58">
        <x:f>IF(COUNT(M10:N10)&lt;&gt;2,"",M10*N10)</x:f>
        <x:v>3</x:v>
      </x:c>
      <x:c r="P10" s="58"/>
      <x:c r="Q10" s="58"/>
      <x:c r="R10" s="15"/>
      <x:c r="S10" s="15"/>
    </x:row>
    <x:row r="11" ht="24" hidden="0" customHeight="1">
      <x:c r="A11" s="79" t="n">
        <x:f aca="0">Daily!A5</x:f>
        <x:v>46330.5</x:v>
      </x:c>
      <x:c r="B11" s="16" t="str">
        <x:f aca="0">Daily!D5</x:f>
        <x:v>Handstand movement and strength</x:v>
      </x:c>
      <x:c r="C11" s="15" t="str">
        <x:v>Handstand walk</x:v>
      </x:c>
      <x:c r="D11" s="15" t="str">
        <x:v>m</x:v>
      </x:c>
      <x:c r="E11" s="15" t="n">
        <x:v>3</x:v>
      </x:c>
      <x:c r="F11" s="15" t="n">
        <x:v>3</x:v>
      </x:c>
      <x:c r="G11" s="15" t="n">
        <x:f aca="0">E11*F11</x:f>
        <x:v>9</x:v>
      </x:c>
      <x:c r="H11" s="15" t="str">
        <x:f aca="0">IF(AND(Daily!G5=TRUE,COUNT(Daily!H5,Daily!I5,Daily!J5)&gt;0),SUM(Daily!H5,Daily!I5,Daily!J5),"")</x:f>
      </x:c>
      <x:c r="I11" s="58" t="str">
        <x:f aca="0">IF(AND(ISNUMBER(H11),G11&gt;0),100*H11/G11,"")</x:f>
      </x:c>
      <x:c r="J11" s="58" t="n">
        <x:f aca="0">IF(COUNTIF(Library!$B$3:$B$58,C11)&lt;&gt;1,"",INDEX(Library!$D$3:$D$58,MATCH(C11,Library!$B$3:$B$58,0)))</x:f>
        <x:v>3</x:v>
      </x:c>
      <x:c r="K11" s="59" t="n">
        <x:f aca="0">Daily!M5</x:f>
        <x:v>0</x:v>
      </x:c>
      <x:c r="L11" s="60" t="n">
        <x:f aca="0">IF(COUNTIF(Library!$B$3:$B$58,C11)&lt;&gt;1,"",IF(COUNTIFS(Library!$B$3:$B$58,C11,Library!$E$3:$E$58,"&lt;&gt;")=0,0,INDEX(Library!$E$3:$E$58,MATCH(C11,Library!$B$3:$B$58,0))))</x:f>
        <x:v>0</x:v>
      </x:c>
      <x:c r="M11" s="58" t="n">
        <x:f aca="0">IF(COUNT(J11:L11)&lt;&gt;3,"",MIN(10,J11*(1+K11*L11)))</x:f>
        <x:v>3</x:v>
      </x:c>
      <x:c r="N11" s="58">
        <x:f>E11</x:f>
        <x:v>3</x:v>
      </x:c>
      <x:c r="O11" s="58">
        <x:f>IF(COUNT(M11:N11)&lt;&gt;2,"",M11*N11)</x:f>
        <x:v>9</x:v>
      </x:c>
      <x:c r="P11" s="58">
        <x:f>IF(COUNT(O11:O15)&lt;&gt;COUNT(N11:N15),"",ROUND(SUM(O11:O15)/SUM(N11:N15),1))</x:f>
        <x:v>3.8</x:v>
      </x:c>
      <x:c r="Q11" s="58" t="str">
        <x:f aca="0">IF(COUNT(I11:I15)=0,"",MEDIAN(I11:I15))</x:f>
      </x:c>
      <x:c r="R11" s="15" t="n">
        <x:f aca="0">COUNT(I11:I15)</x:f>
        <x:v>0</x:v>
      </x:c>
      <x:c r="S11" s="15" t="n">
        <x:v>5</x:v>
      </x:c>
    </x:row>
    <x:row r="12" ht="24" hidden="0" customHeight="1">
      <x:c r="A12" s="79" t="n">
        <x:f aca="0">Daily!A5</x:f>
        <x:v>46330.5</x:v>
      </x:c>
      <x:c r="B12" s="16" t="str">
        <x:f aca="0">Daily!D5</x:f>
        <x:v>Handstand movement and strength</x:v>
      </x:c>
      <x:c r="C12" s="15" t="str">
        <x:v>Elevated pike push-up</x:v>
      </x:c>
      <x:c r="D12" s="15" t="str">
        <x:v>reps</x:v>
      </x:c>
      <x:c r="E12" s="15" t="n">
        <x:v>4</x:v>
      </x:c>
      <x:c r="F12" s="15" t="n">
        <x:v>8</x:v>
      </x:c>
      <x:c r="G12" s="15" t="n">
        <x:f aca="0">E12*F12</x:f>
        <x:v>32</x:v>
      </x:c>
      <x:c r="H12" s="15" t="str">
        <x:f aca="0">IF(AND(Daily!G5=TRUE,COUNT(Daily!N5,Daily!O5,Daily!P5,Daily!Q5)&gt;0),SUM(Daily!N5,Daily!O5,Daily!P5,Daily!Q5),"")</x:f>
      </x:c>
      <x:c r="I12" s="58" t="str">
        <x:f aca="0">IF(AND(ISNUMBER(H12),G12&gt;0),100*H12/G12,"")</x:f>
      </x:c>
      <x:c r="J12" s="58" t="n">
        <x:f aca="0">IF(COUNTIF(Library!$B$3:$B$58,C12)&lt;&gt;1,"",INDEX(Library!$D$3:$D$58,MATCH(C12,Library!$B$3:$B$58,0)))</x:f>
        <x:v>4</x:v>
      </x:c>
      <x:c r="K12" s="59" t="n">
        <x:f aca="0">Daily!S5</x:f>
        <x:v>0</x:v>
      </x:c>
      <x:c r="L12" s="60" t="n">
        <x:f aca="0">IF(COUNTIF(Library!$B$3:$B$58,C12)&lt;&gt;1,"",IF(COUNTIFS(Library!$B$3:$B$58,C12,Library!$E$3:$E$58,"&lt;&gt;")=0,0,INDEX(Library!$E$3:$E$58,MATCH(C12,Library!$B$3:$B$58,0))))</x:f>
        <x:v>0</x:v>
      </x:c>
      <x:c r="M12" s="58" t="n">
        <x:f aca="0">IF(COUNT(J12:L12)&lt;&gt;3,"",MIN(10,J12*(1+K12*L12)))</x:f>
        <x:v>4</x:v>
      </x:c>
      <x:c r="N12" s="58">
        <x:f>E12</x:f>
        <x:v>4</x:v>
      </x:c>
      <x:c r="O12" s="58">
        <x:f>IF(COUNT(M12:N12)&lt;&gt;2,"",M12*N12)</x:f>
        <x:v>16</x:v>
      </x:c>
      <x:c r="P12" s="58"/>
      <x:c r="Q12" s="58"/>
      <x:c r="R12" s="15"/>
      <x:c r="S12" s="15"/>
    </x:row>
    <x:row r="13" ht="24" hidden="0" customHeight="1">
      <x:c r="A13" s="79" t="n">
        <x:f aca="0">Daily!A5</x:f>
        <x:v>46330.5</x:v>
      </x:c>
      <x:c r="B13" s="16" t="str">
        <x:f aca="0">Daily!D5</x:f>
        <x:v>Handstand movement and strength</x:v>
      </x:c>
      <x:c r="C13" s="15" t="str">
        <x:v>Pull-up</x:v>
      </x:c>
      <x:c r="D13" s="15" t="str">
        <x:v>reps</x:v>
      </x:c>
      <x:c r="E13" s="15" t="n">
        <x:v>4</x:v>
      </x:c>
      <x:c r="F13" s="15" t="n">
        <x:v>6</x:v>
      </x:c>
      <x:c r="G13" s="15" t="n">
        <x:f aca="0">E13*F13</x:f>
        <x:v>24</x:v>
      </x:c>
      <x:c r="H13" s="15" t="str">
        <x:f aca="0">IF(AND(Daily!G5=TRUE,COUNT(Daily!T5,Daily!U5,Daily!V5,Daily!W5)&gt;0),SUM(Daily!T5,Daily!U5,Daily!V5,Daily!W5),"")</x:f>
      </x:c>
      <x:c r="I13" s="58" t="str">
        <x:f aca="0">IF(AND(ISNUMBER(H13),G13&gt;0),100*H13/G13,"")</x:f>
      </x:c>
      <x:c r="J13" s="58" t="n">
        <x:f aca="0">IF(COUNTIF(Library!$B$3:$B$58,C13)&lt;&gt;1,"",INDEX(Library!$D$3:$D$58,MATCH(C13,Library!$B$3:$B$58,0)))</x:f>
        <x:v>6</x:v>
      </x:c>
      <x:c r="K13" s="59" t="n">
        <x:f aca="0">Daily!Y5</x:f>
        <x:v>0</x:v>
      </x:c>
      <x:c r="L13" s="60" t="n">
        <x:f aca="0">IF(COUNTIF(Library!$B$3:$B$58,C13)&lt;&gt;1,"",IF(COUNTIFS(Library!$B$3:$B$58,C13,Library!$E$3:$E$58,"&lt;&gt;")=0,0,INDEX(Library!$E$3:$E$58,MATCH(C13,Library!$B$3:$B$58,0))))</x:f>
        <x:v>0.04</x:v>
      </x:c>
      <x:c r="M13" s="58" t="n">
        <x:f aca="0">IF(COUNT(J13:L13)&lt;&gt;3,"",MIN(10,J13*(1+K13*L13)))</x:f>
        <x:v>6</x:v>
      </x:c>
      <x:c r="N13" s="58">
        <x:f>E13</x:f>
        <x:v>4</x:v>
      </x:c>
      <x:c r="O13" s="58">
        <x:f>IF(COUNT(M13:N13)&lt;&gt;2,"",M13*N13)</x:f>
        <x:v>24</x:v>
      </x:c>
      <x:c r="P13" s="58"/>
      <x:c r="Q13" s="58"/>
      <x:c r="R13" s="15"/>
      <x:c r="S13" s="15"/>
    </x:row>
    <x:row r="14" ht="24" hidden="0" customHeight="1">
      <x:c r="A14" s="79" t="n">
        <x:f aca="0">Daily!A5</x:f>
        <x:v>46330.5</x:v>
      </x:c>
      <x:c r="B14" s="16" t="str">
        <x:f aca="0">Daily!D5</x:f>
        <x:v>Handstand movement and strength</x:v>
      </x:c>
      <x:c r="C14" s="15" t="str">
        <x:v>Box pistol</x:v>
      </x:c>
      <x:c r="D14" s="15" t="str">
        <x:v>reps/leg</x:v>
      </x:c>
      <x:c r="E14" s="15" t="n">
        <x:v>4</x:v>
      </x:c>
      <x:c r="F14" s="15" t="n">
        <x:v>5</x:v>
      </x:c>
      <x:c r="G14" s="15" t="n">
        <x:f aca="0">E14*F14</x:f>
        <x:v>20</x:v>
      </x:c>
      <x:c r="H14" s="15" t="str">
        <x:f aca="0">IF(AND(Daily!G5=TRUE,COUNT(Daily!Z5,Daily!AA5,Daily!AB5,Daily!AC5)&gt;0),SUM(Daily!Z5,Daily!AA5,Daily!AB5,Daily!AC5),"")</x:f>
      </x:c>
      <x:c r="I14" s="58" t="str">
        <x:f aca="0">IF(AND(ISNUMBER(H14),G14&gt;0),100*H14/G14,"")</x:f>
      </x:c>
      <x:c r="J14" s="58" t="n">
        <x:f aca="0">IF(COUNTIF(Library!$B$3:$B$58,C14)&lt;&gt;1,"",INDEX(Library!$D$3:$D$58,MATCH(C14,Library!$B$3:$B$58,0)))</x:f>
        <x:v>2</x:v>
      </x:c>
      <x:c r="K14" s="59" t="n">
        <x:f aca="0">Daily!AE5</x:f>
        <x:v>0</x:v>
      </x:c>
      <x:c r="L14" s="60" t="n">
        <x:f aca="0">IF(COUNTIF(Library!$B$3:$B$58,C14)&lt;&gt;1,"",IF(COUNTIFS(Library!$B$3:$B$58,C14,Library!$E$3:$E$58,"&lt;&gt;")=0,0,INDEX(Library!$E$3:$E$58,MATCH(C14,Library!$B$3:$B$58,0))))</x:f>
        <x:v>0.03</x:v>
      </x:c>
      <x:c r="M14" s="58" t="n">
        <x:f aca="0">IF(COUNT(J14:L14)&lt;&gt;3,"",MIN(10,J14*(1+K14*L14)))</x:f>
        <x:v>2</x:v>
      </x:c>
      <x:c r="N14" s="58">
        <x:f>E14</x:f>
        <x:v>4</x:v>
      </x:c>
      <x:c r="O14" s="58">
        <x:f>IF(COUNT(M14:N14)&lt;&gt;2,"",M14*N14)</x:f>
        <x:v>8</x:v>
      </x:c>
      <x:c r="P14" s="58"/>
      <x:c r="Q14" s="58"/>
      <x:c r="R14" s="15"/>
      <x:c r="S14" s="15"/>
    </x:row>
    <x:row r="15" ht="24" hidden="0" customHeight="1">
      <x:c r="A15" s="79" t="n">
        <x:f aca="0">Daily!A5</x:f>
        <x:v>46330.5</x:v>
      </x:c>
      <x:c r="B15" s="16" t="str">
        <x:f aca="0">Daily!D5</x:f>
        <x:v>Handstand movement and strength</x:v>
      </x:c>
      <x:c r="C15" s="15" t="str">
        <x:v>Bar row</x:v>
      </x:c>
      <x:c r="D15" s="15" t="str">
        <x:v>reps</x:v>
      </x:c>
      <x:c r="E15" s="15" t="n">
        <x:v>4</x:v>
      </x:c>
      <x:c r="F15" s="15" t="n">
        <x:v>12</x:v>
      </x:c>
      <x:c r="G15" s="15" t="n">
        <x:f aca="0">E15*F15</x:f>
        <x:v>48</x:v>
      </x:c>
      <x:c r="H15" s="15" t="str">
        <x:f aca="0">IF(AND(Daily!G5=TRUE,COUNT(Daily!AF5,Daily!AG5,Daily!AH5,Daily!AI5)&gt;0),SUM(Daily!AF5,Daily!AG5,Daily!AH5,Daily!AI5),"")</x:f>
      </x:c>
      <x:c r="I15" s="58" t="str">
        <x:f aca="0">IF(AND(ISNUMBER(H15),G15&gt;0),100*H15/G15,"")</x:f>
      </x:c>
      <x:c r="J15" s="58" t="n">
        <x:f aca="0">IF(COUNTIF(Library!$B$3:$B$58,C15)&lt;&gt;1,"",INDEX(Library!$D$3:$D$58,MATCH(C15,Library!$B$3:$B$58,0)))</x:f>
        <x:v>4</x:v>
      </x:c>
      <x:c r="K15" s="59" t="n">
        <x:f aca="0">Daily!AK5</x:f>
        <x:v>0</x:v>
      </x:c>
      <x:c r="L15" s="60" t="n">
        <x:f aca="0">IF(COUNTIF(Library!$B$3:$B$58,C15)&lt;&gt;1,"",IF(COUNTIFS(Library!$B$3:$B$58,C15,Library!$E$3:$E$58,"&lt;&gt;")=0,0,INDEX(Library!$E$3:$E$58,MATCH(C15,Library!$B$3:$B$58,0))))</x:f>
        <x:v>0.04</x:v>
      </x:c>
      <x:c r="M15" s="58" t="n">
        <x:f aca="0">IF(COUNT(J15:L15)&lt;&gt;3,"",MIN(10,J15*(1+K15*L15)))</x:f>
        <x:v>4</x:v>
      </x:c>
      <x:c r="N15" s="58">
        <x:f>E15</x:f>
        <x:v>4</x:v>
      </x:c>
      <x:c r="O15" s="58">
        <x:f>IF(COUNT(M15:N15)&lt;&gt;2,"",M15*N15)</x:f>
        <x:v>16</x:v>
      </x:c>
      <x:c r="P15" s="58"/>
      <x:c r="Q15" s="58"/>
      <x:c r="R15" s="15"/>
      <x:c r="S15" s="15"/>
    </x:row>
    <x:row r="16" ht="24" hidden="0" customHeight="1">
      <x:c r="A16" s="79" t="n">
        <x:f aca="0">Daily!A6</x:f>
        <x:v>46332.5</x:v>
      </x:c>
      <x:c r="B16" s="16" t="str">
        <x:f aca="0">Daily!D6</x:f>
        <x:v>Muscle-up movement + Cal-Intervals</x:v>
      </x:c>
      <x:c r="C16" s="15" t="str">
        <x:v>Low-bar transition</x:v>
      </x:c>
      <x:c r="D16" s="15" t="str">
        <x:v>reps</x:v>
      </x:c>
      <x:c r="E16" s="15" t="n">
        <x:v>4</x:v>
      </x:c>
      <x:c r="F16" s="15" t="n">
        <x:v>3</x:v>
      </x:c>
      <x:c r="G16" s="15" t="n">
        <x:f aca="0">E16*F16</x:f>
        <x:v>12</x:v>
      </x:c>
      <x:c r="H16" s="15" t="str">
        <x:f aca="0">IF(AND(Daily!G6=TRUE,COUNT(Daily!H6,Daily!I6,Daily!J6,Daily!K6)&gt;0),SUM(Daily!H6,Daily!I6,Daily!J6,Daily!K6),"")</x:f>
      </x:c>
      <x:c r="I16" s="58" t="str">
        <x:f aca="0">IF(AND(ISNUMBER(H16),G16&gt;0),100*H16/G16,"")</x:f>
      </x:c>
      <x:c r="J16" s="58" t="n">
        <x:f aca="0">IF(COUNTIF(Library!$B$3:$B$58,C16)&lt;&gt;1,"",INDEX(Library!$D$3:$D$58,MATCH(C16,Library!$B$3:$B$58,0)))</x:f>
        <x:v>4</x:v>
      </x:c>
      <x:c r="K16" s="59" t="n">
        <x:f aca="0">Daily!M6</x:f>
        <x:v>0</x:v>
      </x:c>
      <x:c r="L16" s="60" t="n">
        <x:f aca="0">IF(COUNTIF(Library!$B$3:$B$58,C16)&lt;&gt;1,"",IF(COUNTIFS(Library!$B$3:$B$58,C16,Library!$E$3:$E$58,"&lt;&gt;")=0,0,INDEX(Library!$E$3:$E$58,MATCH(C16,Library!$B$3:$B$58,0))))</x:f>
        <x:v>0</x:v>
      </x:c>
      <x:c r="M16" s="58" t="n">
        <x:f aca="0">IF(COUNT(J16:L16)&lt;&gt;3,"",MIN(10,J16*(1+K16*L16)))</x:f>
        <x:v>4</x:v>
      </x:c>
      <x:c r="N16" s="58">
        <x:f>E16</x:f>
        <x:v>4</x:v>
      </x:c>
      <x:c r="O16" s="58">
        <x:f>IF(COUNT(M16:N16)&lt;&gt;2,"",M16*N16)</x:f>
        <x:v>16</x:v>
      </x:c>
      <x:c r="P16" s="58">
        <x:f>IF(COUNT(O16:O20)&lt;&gt;COUNT(N16:N20),"",ROUND(SUM(O16:O20)/SUM(N16:N20),1))</x:f>
        <x:v>4.4</x:v>
      </x:c>
      <x:c r="Q16" s="58" t="str">
        <x:f aca="0">IF(COUNT(I16:I20)=0,"",MEDIAN(I16:I20))</x:f>
      </x:c>
      <x:c r="R16" s="15" t="n">
        <x:f aca="0">COUNT(I16:I20)</x:f>
        <x:v>0</x:v>
      </x:c>
      <x:c r="S16" s="15" t="n">
        <x:v>5</x:v>
      </x:c>
    </x:row>
    <x:row r="17" ht="24" hidden="0" customHeight="1">
      <x:c r="A17" s="79" t="n">
        <x:f aca="0">Daily!A6</x:f>
        <x:v>46332.5</x:v>
      </x:c>
      <x:c r="B17" s="16" t="str">
        <x:f aca="0">Daily!D6</x:f>
        <x:v>Muscle-up movement + Cal-Intervals</x:v>
      </x:c>
      <x:c r="C17" s="15" t="str">
        <x:v>Handstand walk</x:v>
      </x:c>
      <x:c r="D17" s="15" t="str">
        <x:v>m</x:v>
      </x:c>
      <x:c r="E17" s="15" t="n">
        <x:v>4</x:v>
      </x:c>
      <x:c r="F17" s="15" t="n">
        <x:v>3</x:v>
      </x:c>
      <x:c r="G17" s="15" t="n">
        <x:f aca="0">E17*F17</x:f>
        <x:v>12</x:v>
      </x:c>
      <x:c r="H17" s="15" t="str">
        <x:f aca="0">IF(AND(Daily!G6=TRUE,COUNT(Daily!N6,Daily!O6,Daily!P6,Daily!Q6)&gt;0),SUM(Daily!N6,Daily!O6,Daily!P6,Daily!Q6),"")</x:f>
      </x:c>
      <x:c r="I17" s="58" t="str">
        <x:f aca="0">IF(AND(ISNUMBER(H17),G17&gt;0),100*H17/G17,"")</x:f>
      </x:c>
      <x:c r="J17" s="58" t="n">
        <x:f aca="0">IF(COUNTIF(Library!$B$3:$B$58,C17)&lt;&gt;1,"",INDEX(Library!$D$3:$D$58,MATCH(C17,Library!$B$3:$B$58,0)))</x:f>
        <x:v>3</x:v>
      </x:c>
      <x:c r="K17" s="59" t="n">
        <x:f aca="0">Daily!S6</x:f>
        <x:v>0</x:v>
      </x:c>
      <x:c r="L17" s="60" t="n">
        <x:f aca="0">IF(COUNTIF(Library!$B$3:$B$58,C17)&lt;&gt;1,"",IF(COUNTIFS(Library!$B$3:$B$58,C17,Library!$E$3:$E$58,"&lt;&gt;")=0,0,INDEX(Library!$E$3:$E$58,MATCH(C17,Library!$B$3:$B$58,0))))</x:f>
        <x:v>0</x:v>
      </x:c>
      <x:c r="M17" s="58" t="n">
        <x:f aca="0">IF(COUNT(J17:L17)&lt;&gt;3,"",MIN(10,J17*(1+K17*L17)))</x:f>
        <x:v>3</x:v>
      </x:c>
      <x:c r="N17" s="58">
        <x:f>E17</x:f>
        <x:v>4</x:v>
      </x:c>
      <x:c r="O17" s="58">
        <x:f>IF(COUNT(M17:N17)&lt;&gt;2,"",M17*N17)</x:f>
        <x:v>12</x:v>
      </x:c>
      <x:c r="P17" s="58"/>
      <x:c r="Q17" s="58"/>
      <x:c r="R17" s="15"/>
      <x:c r="S17" s="15"/>
    </x:row>
    <x:row r="18" ht="24" hidden="0" customHeight="1">
      <x:c r="A18" s="79" t="n">
        <x:f aca="0">Daily!A6</x:f>
        <x:v>46332.5</x:v>
      </x:c>
      <x:c r="B18" s="16" t="str">
        <x:f aca="0">Daily!D6</x:f>
        <x:v>Muscle-up movement + Cal-Intervals</x:v>
      </x:c>
      <x:c r="C18" s="15" t="str">
        <x:v>Straight-bar dip</x:v>
      </x:c>
      <x:c r="D18" s="15" t="str">
        <x:v>reps</x:v>
      </x:c>
      <x:c r="E18" s="15" t="n">
        <x:v>4</x:v>
      </x:c>
      <x:c r="F18" s="15" t="n">
        <x:v>8</x:v>
      </x:c>
      <x:c r="G18" s="15" t="n">
        <x:f aca="0">E18*F18</x:f>
        <x:v>32</x:v>
      </x:c>
      <x:c r="H18" s="15" t="str">
        <x:f aca="0">IF(AND(Daily!G6=TRUE,COUNT(Daily!T6,Daily!U6,Daily!V6,Daily!W6)&gt;0),SUM(Daily!T6,Daily!U6,Daily!V6,Daily!W6),"")</x:f>
      </x:c>
      <x:c r="I18" s="58" t="str">
        <x:f aca="0">IF(AND(ISNUMBER(H18),G18&gt;0),100*H18/G18,"")</x:f>
      </x:c>
      <x:c r="J18" s="58" t="n">
        <x:f aca="0">IF(COUNTIF(Library!$B$3:$B$58,C18)&lt;&gt;1,"",INDEX(Library!$D$3:$D$58,MATCH(C18,Library!$B$3:$B$58,0)))</x:f>
        <x:v>4</x:v>
      </x:c>
      <x:c r="K18" s="59" t="n">
        <x:f aca="0">Daily!Y6</x:f>
        <x:v>0</x:v>
      </x:c>
      <x:c r="L18" s="60" t="n">
        <x:f aca="0">IF(COUNTIF(Library!$B$3:$B$58,C18)&lt;&gt;1,"",IF(COUNTIFS(Library!$B$3:$B$58,C18,Library!$E$3:$E$58,"&lt;&gt;")=0,0,INDEX(Library!$E$3:$E$58,MATCH(C18,Library!$B$3:$B$58,0))))</x:f>
        <x:v>0.02</x:v>
      </x:c>
      <x:c r="M18" s="58" t="n">
        <x:f aca="0">IF(COUNT(J18:L18)&lt;&gt;3,"",MIN(10,J18*(1+K18*L18)))</x:f>
        <x:v>4</x:v>
      </x:c>
      <x:c r="N18" s="58">
        <x:f>E18</x:f>
        <x:v>4</x:v>
      </x:c>
      <x:c r="O18" s="58">
        <x:f>IF(COUNT(M18:N18)&lt;&gt;2,"",M18*N18)</x:f>
        <x:v>16</x:v>
      </x:c>
      <x:c r="P18" s="58"/>
      <x:c r="Q18" s="58"/>
      <x:c r="R18" s="15"/>
      <x:c r="S18" s="15"/>
    </x:row>
    <x:row r="19" ht="24" hidden="0" customHeight="1">
      <x:c r="A19" s="79" t="n">
        <x:f aca="0">Daily!A6</x:f>
        <x:v>46332.5</x:v>
      </x:c>
      <x:c r="B19" s="16" t="str">
        <x:f aca="0">Daily!D6</x:f>
        <x:v>Muscle-up movement + Cal-Intervals</x:v>
      </x:c>
      <x:c r="C19" s="15" t="str">
        <x:v>Elevated pike push-up</x:v>
      </x:c>
      <x:c r="D19" s="15" t="str">
        <x:v>reps</x:v>
      </x:c>
      <x:c r="E19" s="15" t="n">
        <x:v>4</x:v>
      </x:c>
      <x:c r="F19" s="15" t="n">
        <x:v>8</x:v>
      </x:c>
      <x:c r="G19" s="15" t="n">
        <x:f>E19*F19</x:f>
        <x:v>32</x:v>
      </x:c>
      <x:c r="H19" s="15" t="str">
        <x:f aca="0">IF(AND(Daily!G6=TRUE,COUNT(Daily!Z6,Daily!AA6,Daily!AB6,Daily!AC6)&gt;0),SUM(Daily!Z6,Daily!AA6,Daily!AB6,Daily!AC6),"")</x:f>
      </x:c>
      <x:c r="I19" s="58" t="str">
        <x:f aca="0">IF(AND(ISNUMBER(H19),G19&gt;0),100*H19/G19,"")</x:f>
      </x:c>
      <x:c r="J19" s="58" t="n">
        <x:f aca="0">IF(COUNTIF(Library!$B$3:$B$58,C19)&lt;&gt;1,"",INDEX(Library!$D$3:$D$58,MATCH(C19,Library!$B$3:$B$58,0)))</x:f>
        <x:v>4</x:v>
      </x:c>
      <x:c r="K19" s="59" t="n">
        <x:f>Daily!AE6</x:f>
        <x:v>0</x:v>
      </x:c>
      <x:c r="L19" s="60" t="n">
        <x:f>IF(COUNTIF(Library!$B$3:$B$58,C19)&lt;&gt;1,"",IF(COUNTIFS(Library!$B$3:$B$58,C19,Library!$E$3:$E$58,"&lt;&gt;")=0,0,INDEX(Library!$E$3:$E$58,MATCH(C19,Library!$B$3:$B$58,0))))</x:f>
        <x:v>0</x:v>
      </x:c>
      <x:c r="M19" s="58" t="n">
        <x:f aca="0">IF(COUNT(J19:L19)&lt;&gt;3,"",MIN(10,J19*(1+K19*L19)))</x:f>
        <x:v>4</x:v>
      </x:c>
      <x:c r="N19" s="58">
        <x:f>E19</x:f>
        <x:v>4</x:v>
      </x:c>
      <x:c r="O19" s="58">
        <x:f>IF(COUNT(M19:N19)&lt;&gt;2,"",M19*N19)</x:f>
        <x:v>16</x:v>
      </x:c>
      <x:c r="P19" s="58"/>
      <x:c r="Q19" s="58"/>
      <x:c r="R19" s="15"/>
      <x:c r="S19" s="15"/>
    </x:row>
    <x:row r="20" ht="24" hidden="0" customHeight="1">
      <x:c r="A20" s="79" t="n">
        <x:f aca="0">Daily!A6</x:f>
        <x:v>46332.5</x:v>
      </x:c>
      <x:c r="B20" s="16" t="str">
        <x:f aca="0">Daily!D6</x:f>
        <x:v>Muscle-up movement + Cal-Intervals</x:v>
      </x:c>
      <x:c r="C20" s="15" t="str">
        <x:v>Cal-Intervals</x:v>
      </x:c>
      <x:c r="D20" s="15" t="str">
        <x:v>rounds</x:v>
      </x:c>
      <x:c r="E20" s="15" t="n">
        <x:v>1</x:v>
      </x:c>
      <x:c r="F20" s="15" t="n">
        <x:v>5</x:v>
      </x:c>
      <x:c r="G20" s="15" t="n">
        <x:v>5</x:v>
      </x:c>
      <x:c r="H20" s="15" t="str">
        <x:f aca="0">IF(AND(Daily!G6=TRUE,ISNUMBER(Daily!AL6),Daily!AL6&gt;0),Daily!AL6,"")</x:f>
      </x:c>
      <x:c r="I20" s="58" t="str">
        <x:f aca="0">IF(ISNUMBER(H20),100*H20/G20,"")</x:f>
      </x:c>
      <x:c r="J20" s="58" t="n">
        <x:f aca="0">SUM(Library!F67:F70)/SUM(Library!E67:E70)</x:f>
        <x:v>5</x:v>
      </x:c>
      <x:c r="K20" s="59"/>
      <x:c r="L20" s="60"/>
      <x:c r="M20" s="58" t="n">
        <x:f aca="0">J20</x:f>
        <x:v>5</x:v>
      </x:c>
      <x:c r="N20" s="58">
        <x:f>G20*COUNT(Library!B67:B70)</x:f>
        <x:v>20</x:v>
      </x:c>
      <x:c r="O20" s="58">
        <x:f>IF(COUNT(M20:N20)&lt;&gt;2,"",M20*N20)</x:f>
        <x:v>100</x:v>
      </x:c>
      <x:c r="P20" s="58"/>
      <x:c r="Q20" s="58"/>
      <x:c r="R20" s="15"/>
      <x:c r="S20" s="15"/>
    </x:row>
    <x:row r="21" ht="24" hidden="0" customHeight="1">
      <x:c r="A21" s="79" t="n">
        <x:f aca="0">Daily!A7</x:f>
        <x:v>46335.5</x:v>
      </x:c>
      <x:c r="B21" s="16" t="str">
        <x:f aca="0">Daily!D7</x:f>
        <x:v>Pull and muscle-up strength</x:v>
      </x:c>
      <x:c r="C21" s="15" t="str">
        <x:v>High pull</x:v>
      </x:c>
      <x:c r="D21" s="15" t="str">
        <x:v>reps</x:v>
      </x:c>
      <x:c r="E21" s="15" t="n">
        <x:v>4</x:v>
      </x:c>
      <x:c r="F21" s="15" t="n">
        <x:v>3</x:v>
      </x:c>
      <x:c r="G21" s="15" t="n">
        <x:f aca="0">E21*F21</x:f>
        <x:v>12</x:v>
      </x:c>
      <x:c r="H21" s="15" t="str">
        <x:f aca="0">IF(AND(Daily!G7=TRUE,COUNT(Daily!H7,Daily!I7,Daily!J7,Daily!K7)&gt;0),SUM(Daily!H7,Daily!I7,Daily!J7,Daily!K7),"")</x:f>
      </x:c>
      <x:c r="I21" s="58" t="str">
        <x:f aca="0">IF(AND(ISNUMBER(H21),G21&gt;0),100*H21/G21,"")</x:f>
      </x:c>
      <x:c r="J21" s="58" t="n">
        <x:f aca="0">IF(COUNTIF(Library!$B$3:$B$58,C21)&lt;&gt;1,"",INDEX(Library!$D$3:$D$58,MATCH(C21,Library!$B$3:$B$58,0)))</x:f>
        <x:v>4</x:v>
      </x:c>
      <x:c r="K21" s="59" t="n">
        <x:f aca="0">Daily!M7</x:f>
        <x:v>0</x:v>
      </x:c>
      <x:c r="L21" s="60" t="n">
        <x:f aca="0">IF(COUNTIF(Library!$B$3:$B$58,C21)&lt;&gt;1,"",IF(COUNTIFS(Library!$B$3:$B$58,C21,Library!$E$3:$E$58,"&lt;&gt;")=0,0,INDEX(Library!$E$3:$E$58,MATCH(C21,Library!$B$3:$B$58,0))))</x:f>
        <x:v>0.04</x:v>
      </x:c>
      <x:c r="M21" s="58" t="n">
        <x:f aca="0">IF(COUNT(J21:L21)&lt;&gt;3,"",MIN(10,J21*(1+K21*L21)))</x:f>
        <x:v>4</x:v>
      </x:c>
      <x:c r="N21" s="58">
        <x:f>E21</x:f>
        <x:v>4</x:v>
      </x:c>
      <x:c r="O21" s="58">
        <x:f>IF(COUNT(M21:N21)&lt;&gt;2,"",M21*N21)</x:f>
        <x:v>16</x:v>
      </x:c>
      <x:c r="P21" s="58">
        <x:f>IF(COUNT(O21:O25)&lt;&gt;COUNT(N21:N25),"",ROUND(SUM(O21:O25)/SUM(N21:N25),1))</x:f>
        <x:v>4</x:v>
      </x:c>
      <x:c r="Q21" s="58" t="str">
        <x:f>IF(COUNT(I21:I25)=0,"",MEDIAN(I21:I25))</x:f>
      </x:c>
      <x:c r="R21" s="15" t="n">
        <x:f>COUNT(I21:I25)</x:f>
        <x:v>0</x:v>
      </x:c>
      <x:c r="S21" s="15" t="n">
        <x:v>5</x:v>
      </x:c>
    </x:row>
    <x:row r="22" ht="24" hidden="0" customHeight="1">
      <x:c r="A22" s="79" t="n">
        <x:f aca="0">Daily!A7</x:f>
        <x:v>46335.5</x:v>
      </x:c>
      <x:c r="B22" s="16" t="str">
        <x:f aca="0">Daily!D7</x:f>
        <x:v>Pull and muscle-up strength</x:v>
      </x:c>
      <x:c r="C22" s="15" t="str">
        <x:v>Pull-up</x:v>
      </x:c>
      <x:c r="D22" s="15" t="str">
        <x:v>reps</x:v>
      </x:c>
      <x:c r="E22" s="15" t="n">
        <x:v>4</x:v>
      </x:c>
      <x:c r="F22" s="15" t="n">
        <x:v>6</x:v>
      </x:c>
      <x:c r="G22" s="15" t="n">
        <x:f aca="0">E22*F22</x:f>
        <x:v>24</x:v>
      </x:c>
      <x:c r="H22" s="15" t="str">
        <x:f aca="0">IF(AND(Daily!G7=TRUE,COUNT(Daily!N7,Daily!O7,Daily!P7,Daily!Q7)&gt;0),SUM(Daily!N7,Daily!O7,Daily!P7,Daily!Q7),"")</x:f>
      </x:c>
      <x:c r="I22" s="58" t="str">
        <x:f aca="0">IF(AND(ISNUMBER(H22),G22&gt;0),100*H22/G22,"")</x:f>
      </x:c>
      <x:c r="J22" s="58" t="n">
        <x:f aca="0">IF(COUNTIF(Library!$B$3:$B$58,C22)&lt;&gt;1,"",INDEX(Library!$D$3:$D$58,MATCH(C22,Library!$B$3:$B$58,0)))</x:f>
        <x:v>6</x:v>
      </x:c>
      <x:c r="K22" s="59" t="n">
        <x:f aca="0">Daily!S7</x:f>
        <x:v>0</x:v>
      </x:c>
      <x:c r="L22" s="60" t="n">
        <x:f aca="0">IF(COUNTIF(Library!$B$3:$B$58,C22)&lt;&gt;1,"",IF(COUNTIFS(Library!$B$3:$B$58,C22,Library!$E$3:$E$58,"&lt;&gt;")=0,0,INDEX(Library!$E$3:$E$58,MATCH(C22,Library!$B$3:$B$58,0))))</x:f>
        <x:v>0.04</x:v>
      </x:c>
      <x:c r="M22" s="58" t="n">
        <x:f aca="0">IF(COUNT(J22:L22)&lt;&gt;3,"",MIN(10,J22*(1+K22*L22)))</x:f>
        <x:v>6</x:v>
      </x:c>
      <x:c r="N22" s="58">
        <x:f>E22</x:f>
        <x:v>4</x:v>
      </x:c>
      <x:c r="O22" s="58">
        <x:f>IF(COUNT(M22:N22)&lt;&gt;2,"",M22*N22)</x:f>
        <x:v>24</x:v>
      </x:c>
      <x:c r="P22" s="58"/>
      <x:c r="Q22" s="58"/>
      <x:c r="R22" s="15"/>
      <x:c r="S22" s="15"/>
    </x:row>
    <x:row r="23" ht="24" hidden="0" customHeight="1">
      <x:c r="A23" s="79" t="n">
        <x:f aca="0">Daily!A7</x:f>
        <x:v>46335.5</x:v>
      </x:c>
      <x:c r="B23" s="16" t="str">
        <x:f aca="0">Daily!D7</x:f>
        <x:v>Pull and muscle-up strength</x:v>
      </x:c>
      <x:c r="C23" s="15" t="str">
        <x:v>Parallel-bar dip</x:v>
      </x:c>
      <x:c r="D23" s="15" t="str">
        <x:v>reps</x:v>
      </x:c>
      <x:c r="E23" s="15" t="n">
        <x:v>4</x:v>
      </x:c>
      <x:c r="F23" s="15" t="n">
        <x:v>12</x:v>
      </x:c>
      <x:c r="G23" s="15" t="n">
        <x:f aca="0">E23*F23</x:f>
        <x:v>48</x:v>
      </x:c>
      <x:c r="H23" s="15" t="str">
        <x:f aca="0">IF(AND(Daily!G7=TRUE,COUNT(Daily!T7,Daily!U7,Daily!V7,Daily!W7)&gt;0),SUM(Daily!T7,Daily!U7,Daily!V7,Daily!W7),"")</x:f>
      </x:c>
      <x:c r="I23" s="58" t="str">
        <x:f aca="0">IF(AND(ISNUMBER(H23),G23&gt;0),100*H23/G23,"")</x:f>
      </x:c>
      <x:c r="J23" s="58" t="n">
        <x:f aca="0">IF(COUNTIF(Library!$B$3:$B$58,C23)&lt;&gt;1,"",INDEX(Library!$D$3:$D$58,MATCH(C23,Library!$B$3:$B$58,0)))</x:f>
        <x:v>4</x:v>
      </x:c>
      <x:c r="K23" s="59" t="n">
        <x:f aca="0">Daily!Y7</x:f>
        <x:v>0</x:v>
      </x:c>
      <x:c r="L23" s="60" t="n">
        <x:f aca="0">IF(COUNTIF(Library!$B$3:$B$58,C23)&lt;&gt;1,"",IF(COUNTIFS(Library!$B$3:$B$58,C23,Library!$E$3:$E$58,"&lt;&gt;")=0,0,INDEX(Library!$E$3:$E$58,MATCH(C23,Library!$B$3:$B$58,0))))</x:f>
        <x:v>0.02</x:v>
      </x:c>
      <x:c r="M23" s="58" t="n">
        <x:f aca="0">IF(COUNT(J23:L23)&lt;&gt;3,"",MIN(10,J23*(1+K23*L23)))</x:f>
        <x:v>4</x:v>
      </x:c>
      <x:c r="N23" s="58">
        <x:f>E23</x:f>
        <x:v>4</x:v>
      </x:c>
      <x:c r="O23" s="58">
        <x:f>IF(COUNT(M23:N23)&lt;&gt;2,"",M23*N23)</x:f>
        <x:v>16</x:v>
      </x:c>
      <x:c r="P23" s="58"/>
      <x:c r="Q23" s="58"/>
      <x:c r="R23" s="15"/>
      <x:c r="S23" s="15"/>
    </x:row>
    <x:row r="24" ht="24" hidden="0" customHeight="1">
      <x:c r="A24" s="79" t="n">
        <x:f aca="0">Daily!A7</x:f>
        <x:v>46335.5</x:v>
      </x:c>
      <x:c r="B24" s="16" t="str">
        <x:f aca="0">Daily!D7</x:f>
        <x:v>Pull and muscle-up strength</x:v>
      </x:c>
      <x:c r="C24" s="15" t="str">
        <x:v>Box pistol</x:v>
      </x:c>
      <x:c r="D24" s="15" t="str">
        <x:v>reps/leg</x:v>
      </x:c>
      <x:c r="E24" s="15" t="n">
        <x:v>4</x:v>
      </x:c>
      <x:c r="F24" s="15" t="n">
        <x:v>5</x:v>
      </x:c>
      <x:c r="G24" s="15" t="n">
        <x:f aca="0">E24*F24</x:f>
        <x:v>20</x:v>
      </x:c>
      <x:c r="H24" s="15" t="str">
        <x:f aca="0">IF(AND(Daily!G7=TRUE,COUNT(Daily!Z7,Daily!AA7,Daily!AB7,Daily!AC7)&gt;0),SUM(Daily!Z7,Daily!AA7,Daily!AB7,Daily!AC7),"")</x:f>
      </x:c>
      <x:c r="I24" s="58" t="str">
        <x:f aca="0">IF(AND(ISNUMBER(H24),G24&gt;0),100*H24/G24,"")</x:f>
      </x:c>
      <x:c r="J24" s="58" t="n">
        <x:f aca="0">IF(COUNTIF(Library!$B$3:$B$58,C24)&lt;&gt;1,"",INDEX(Library!$D$3:$D$58,MATCH(C24,Library!$B$3:$B$58,0)))</x:f>
        <x:v>2</x:v>
      </x:c>
      <x:c r="K24" s="59" t="n">
        <x:f aca="0">Daily!AE7</x:f>
        <x:v>0</x:v>
      </x:c>
      <x:c r="L24" s="60" t="n">
        <x:f aca="0">IF(COUNTIF(Library!$B$3:$B$58,C24)&lt;&gt;1,"",IF(COUNTIFS(Library!$B$3:$B$58,C24,Library!$E$3:$E$58,"&lt;&gt;")=0,0,INDEX(Library!$E$3:$E$58,MATCH(C24,Library!$B$3:$B$58,0))))</x:f>
        <x:v>0.03</x:v>
      </x:c>
      <x:c r="M24" s="58" t="n">
        <x:f aca="0">IF(COUNT(J24:L24)&lt;&gt;3,"",MIN(10,J24*(1+K24*L24)))</x:f>
        <x:v>2</x:v>
      </x:c>
      <x:c r="N24" s="58">
        <x:f>E24</x:f>
        <x:v>4</x:v>
      </x:c>
      <x:c r="O24" s="58">
        <x:f>IF(COUNT(M24:N24)&lt;&gt;2,"",M24*N24)</x:f>
        <x:v>8</x:v>
      </x:c>
      <x:c r="P24" s="58"/>
      <x:c r="Q24" s="58"/>
      <x:c r="R24" s="15"/>
      <x:c r="S24" s="15"/>
    </x:row>
    <x:row r="25" ht="24" hidden="0" customHeight="1">
      <x:c r="A25" s="79" t="n">
        <x:f aca="0">Daily!A7</x:f>
        <x:v>46335.5</x:v>
      </x:c>
      <x:c r="B25" s="16" t="str">
        <x:f aca="0">Daily!D7</x:f>
        <x:v>Pull and muscle-up strength</x:v>
      </x:c>
      <x:c r="C25" s="15" t="str">
        <x:v>Sliding hamstring curl</x:v>
      </x:c>
      <x:c r="D25" s="15" t="str">
        <x:v>reps</x:v>
      </x:c>
      <x:c r="E25" s="15" t="n">
        <x:v>3</x:v>
      </x:c>
      <x:c r="F25" s="15" t="n">
        <x:v>10</x:v>
      </x:c>
      <x:c r="G25" s="15" t="n">
        <x:f aca="0">E25*F25</x:f>
        <x:v>30</x:v>
      </x:c>
      <x:c r="H25" s="15" t="str">
        <x:f aca="0">IF(AND(Daily!G7=TRUE,COUNT(Daily!AF7,Daily!AG7,Daily!AH7)&gt;0),SUM(Daily!AF7,Daily!AG7,Daily!AH7),"")</x:f>
      </x:c>
      <x:c r="I25" s="58" t="str">
        <x:f aca="0">IF(AND(ISNUMBER(H25),G25&gt;0),100*H25/G25,"")</x:f>
      </x:c>
      <x:c r="J25" s="58" t="n">
        <x:f aca="0">IF(COUNTIF(Library!$B$3:$B$58,C25)&lt;&gt;1,"",INDEX(Library!$D$3:$D$58,MATCH(C25,Library!$B$3:$B$58,0)))</x:f>
        <x:v>4</x:v>
      </x:c>
      <x:c r="K25" s="59" t="n">
        <x:f aca="0">Daily!AK7</x:f>
        <x:v>0</x:v>
      </x:c>
      <x:c r="L25" s="60" t="n">
        <x:f aca="0">IF(COUNTIF(Library!$B$3:$B$58,C25)&lt;&gt;1,"",IF(COUNTIFS(Library!$B$3:$B$58,C25,Library!$E$3:$E$58,"&lt;&gt;")=0,0,INDEX(Library!$E$3:$E$58,MATCH(C25,Library!$B$3:$B$58,0))))</x:f>
        <x:v>0</x:v>
      </x:c>
      <x:c r="M25" s="58" t="n">
        <x:f aca="0">IF(COUNT(J25:L25)&lt;&gt;3,"",MIN(10,J25*(1+K25*L25)))</x:f>
        <x:v>4</x:v>
      </x:c>
      <x:c r="N25" s="58">
        <x:f>E25</x:f>
        <x:v>3</x:v>
      </x:c>
      <x:c r="O25" s="58">
        <x:f>IF(COUNT(M25:N25)&lt;&gt;2,"",M25*N25)</x:f>
        <x:v>12</x:v>
      </x:c>
      <x:c r="P25" s="58"/>
      <x:c r="Q25" s="58"/>
      <x:c r="R25" s="15"/>
      <x:c r="S25" s="15"/>
    </x:row>
    <x:row r="26" ht="24" hidden="0" customHeight="1">
      <x:c r="A26" s="79" t="n">
        <x:f aca="0">Daily!A8</x:f>
        <x:v>46336.5</x:v>
      </x:c>
      <x:c r="B26" s="16" t="str">
        <x:f aca="0">Daily!D8</x:f>
        <x:v>Optional movement practice</x:v>
      </x:c>
      <x:c r="C26" s="15" t="str">
        <x:v>Wrist/shoulder mobility</x:v>
      </x:c>
      <x:c r="D26" s="15" t="str">
        <x:v>seconds</x:v>
      </x:c>
      <x:c r="E26" s="15" t="n">
        <x:v>1</x:v>
      </x:c>
      <x:c r="F26" s="15" t="n">
        <x:v>120</x:v>
      </x:c>
      <x:c r="G26" s="15" t="n">
        <x:f aca="0">E26*F26</x:f>
        <x:v>120</x:v>
      </x:c>
      <x:c r="H26" s="15" t="str">
        <x:f aca="0">IF(AND(Daily!G8=TRUE,COUNT(Daily!H8)&gt;0),SUM(Daily!H8)*86400,"")</x:f>
      </x:c>
      <x:c r="I26" s="58" t="str">
        <x:f aca="0">IF(AND(ISNUMBER(H26),G26&gt;0),100*H26/G26,"")</x:f>
      </x:c>
      <x:c r="J26" s="58" t="n">
        <x:f aca="0">IF(COUNTIF(Library!$B$3:$B$58,C26)&lt;&gt;1,"",INDEX(Library!$D$3:$D$58,MATCH(C26,Library!$B$3:$B$58,0)))</x:f>
        <x:v>1</x:v>
      </x:c>
      <x:c r="K26" s="59" t="n">
        <x:f aca="0">Daily!M8</x:f>
        <x:v>0</x:v>
      </x:c>
      <x:c r="L26" s="60" t="n">
        <x:f aca="0">IF(COUNTIF(Library!$B$3:$B$58,C26)&lt;&gt;1,"",IF(COUNTIFS(Library!$B$3:$B$58,C26,Library!$E$3:$E$58,"&lt;&gt;")=0,0,INDEX(Library!$E$3:$E$58,MATCH(C26,Library!$B$3:$B$58,0))))</x:f>
        <x:v>0</x:v>
      </x:c>
      <x:c r="M26" s="58" t="n">
        <x:f aca="0">IF(COUNT(J26:L26)&lt;&gt;3,"",MIN(10,J26*(1+K26*L26)))</x:f>
        <x:v>1</x:v>
      </x:c>
      <x:c r="N26" s="58">
        <x:f>E26</x:f>
        <x:v>1</x:v>
      </x:c>
      <x:c r="O26" s="58">
        <x:f>IF(COUNT(M26:N26)&lt;&gt;2,"",M26*N26)</x:f>
        <x:v>1</x:v>
      </x:c>
      <x:c r="P26" s="58">
        <x:f>IF(COUNT(O26:O28)&lt;&gt;COUNT(N26:N28),"",ROUND(SUM(O26:O28)/SUM(N26:N28),1))</x:f>
        <x:v>1</x:v>
      </x:c>
      <x:c r="Q26" s="58" t="str">
        <x:f>IF(COUNT(I26:I28)=0,"",MEDIAN(I26:I28))</x:f>
      </x:c>
      <x:c r="R26" s="15" t="n">
        <x:f>COUNT(I26:I28)</x:f>
        <x:v>0</x:v>
      </x:c>
      <x:c r="S26" s="15" t="n">
        <x:v>3</x:v>
      </x:c>
    </x:row>
    <x:row r="27" ht="24" hidden="0" customHeight="1">
      <x:c r="A27" s="79" t="n">
        <x:f aca="0">Daily!A8</x:f>
        <x:v>46336.5</x:v>
      </x:c>
      <x:c r="B27" s="16" t="str">
        <x:f aca="0">Daily!D8</x:f>
        <x:v>Optional movement practice</x:v>
      </x:c>
      <x:c r="C27" s="15" t="str">
        <x:v>Easy handstand walk</x:v>
      </x:c>
      <x:c r="D27" s="15" t="str">
        <x:v>m</x:v>
      </x:c>
      <x:c r="E27" s="15" t="n">
        <x:v>3</x:v>
      </x:c>
      <x:c r="F27" s="15" t="n">
        <x:v>2</x:v>
      </x:c>
      <x:c r="G27" s="15" t="n">
        <x:f aca="0">E27*F27</x:f>
        <x:v>6</x:v>
      </x:c>
      <x:c r="H27" s="15" t="str">
        <x:f aca="0">IF(AND(Daily!G8=TRUE,COUNT(Daily!N8,Daily!O8,Daily!P8)&gt;0),SUM(Daily!N8,Daily!O8,Daily!P8),"")</x:f>
      </x:c>
      <x:c r="I27" s="58" t="str">
        <x:f aca="0">IF(AND(ISNUMBER(H27),G27&gt;0),100*H27/G27,"")</x:f>
      </x:c>
      <x:c r="J27" s="58" t="n">
        <x:f aca="0">IF(COUNTIF(Library!$B$3:$B$58,C27)&lt;&gt;1,"",INDEX(Library!$D$3:$D$58,MATCH(C27,Library!$B$3:$B$58,0)))</x:f>
        <x:v>1</x:v>
      </x:c>
      <x:c r="K27" s="59" t="n">
        <x:f aca="0">Daily!S8</x:f>
        <x:v>0</x:v>
      </x:c>
      <x:c r="L27" s="60" t="n">
        <x:f aca="0">IF(COUNTIF(Library!$B$3:$B$58,C27)&lt;&gt;1,"",IF(COUNTIFS(Library!$B$3:$B$58,C27,Library!$E$3:$E$58,"&lt;&gt;")=0,0,INDEX(Library!$E$3:$E$58,MATCH(C27,Library!$B$3:$B$58,0))))</x:f>
        <x:v>0</x:v>
      </x:c>
      <x:c r="M27" s="58" t="n">
        <x:f aca="0">IF(COUNT(J27:L27)&lt;&gt;3,"",MIN(10,J27*(1+K27*L27)))</x:f>
        <x:v>1</x:v>
      </x:c>
      <x:c r="N27" s="58">
        <x:f>E27</x:f>
        <x:v>3</x:v>
      </x:c>
      <x:c r="O27" s="58">
        <x:f>IF(COUNT(M27:N27)&lt;&gt;2,"",M27*N27)</x:f>
        <x:v>3</x:v>
      </x:c>
      <x:c r="P27" s="58"/>
      <x:c r="Q27" s="58"/>
      <x:c r="R27" s="15"/>
      <x:c r="S27" s="15"/>
    </x:row>
    <x:row r="28" ht="24" hidden="0" customHeight="1">
      <x:c r="A28" s="79" t="n">
        <x:f aca="0">Daily!A8</x:f>
        <x:v>46336.5</x:v>
      </x:c>
      <x:c r="B28" s="16" t="str">
        <x:f aca="0">Daily!D8</x:f>
        <x:v>Optional movement practice</x:v>
      </x:c>
      <x:c r="C28" s="15" t="str">
        <x:v>Easy bear crawl</x:v>
      </x:c>
      <x:c r="D28" s="15" t="str">
        <x:v>seconds</x:v>
      </x:c>
      <x:c r="E28" s="15" t="n">
        <x:v>3</x:v>
      </x:c>
      <x:c r="F28" s="15" t="n">
        <x:v>20</x:v>
      </x:c>
      <x:c r="G28" s="15" t="n">
        <x:f aca="0">E28*F28</x:f>
        <x:v>60</x:v>
      </x:c>
      <x:c r="H28" s="15" t="str">
        <x:f aca="0">IF(AND(Daily!G8=TRUE,COUNT(Daily!T8,Daily!U8,Daily!V8)&gt;0),SUM(Daily!T8,Daily!U8,Daily!V8)*86400,"")</x:f>
      </x:c>
      <x:c r="I28" s="58" t="str">
        <x:f aca="0">IF(AND(ISNUMBER(H28),G28&gt;0),100*H28/G28,"")</x:f>
      </x:c>
      <x:c r="J28" s="58" t="n">
        <x:f aca="0">IF(COUNTIF(Library!$B$3:$B$58,C28)&lt;&gt;1,"",INDEX(Library!$D$3:$D$58,MATCH(C28,Library!$B$3:$B$58,0)))</x:f>
        <x:v>1</x:v>
      </x:c>
      <x:c r="K28" s="59" t="n">
        <x:f aca="0">Daily!Y8</x:f>
        <x:v>0</x:v>
      </x:c>
      <x:c r="L28" s="60" t="n">
        <x:f aca="0">IF(COUNTIF(Library!$B$3:$B$58,C28)&lt;&gt;1,"",IF(COUNTIFS(Library!$B$3:$B$58,C28,Library!$E$3:$E$58,"&lt;&gt;")=0,0,INDEX(Library!$E$3:$E$58,MATCH(C28,Library!$B$3:$B$58,0))))</x:f>
        <x:v>0</x:v>
      </x:c>
      <x:c r="M28" s="58" t="n">
        <x:f aca="0">IF(COUNT(J28:L28)&lt;&gt;3,"",MIN(10,J28*(1+K28*L28)))</x:f>
        <x:v>1</x:v>
      </x:c>
      <x:c r="N28" s="58">
        <x:f>E28</x:f>
        <x:v>3</x:v>
      </x:c>
      <x:c r="O28" s="58">
        <x:f>IF(COUNT(M28:N28)&lt;&gt;2,"",M28*N28)</x:f>
        <x:v>3</x:v>
      </x:c>
      <x:c r="P28" s="58"/>
      <x:c r="Q28" s="58"/>
      <x:c r="R28" s="15"/>
      <x:c r="S28" s="15"/>
    </x:row>
    <x:row r="29" ht="24" hidden="0" customHeight="1">
      <x:c r="A29" s="79" t="n">
        <x:f aca="0">Daily!A9</x:f>
        <x:v>46337.5</x:v>
      </x:c>
      <x:c r="B29" s="16" t="str">
        <x:f aca="0">Daily!D9</x:f>
        <x:v>Handstand movement and strength</x:v>
      </x:c>
      <x:c r="C29" s="15" t="str">
        <x:v>Handstand walk</x:v>
      </x:c>
      <x:c r="D29" s="15" t="str">
        <x:v>m</x:v>
      </x:c>
      <x:c r="E29" s="15" t="n">
        <x:v>3</x:v>
      </x:c>
      <x:c r="F29" s="15" t="n">
        <x:v>3</x:v>
      </x:c>
      <x:c r="G29" s="15" t="n">
        <x:f aca="0">E29*F29</x:f>
        <x:v>9</x:v>
      </x:c>
      <x:c r="H29" s="15" t="str">
        <x:f aca="0">IF(AND(Daily!G9=TRUE,COUNT(Daily!H9,Daily!I9,Daily!J9)&gt;0),SUM(Daily!H9,Daily!I9,Daily!J9),"")</x:f>
      </x:c>
      <x:c r="I29" s="58" t="str">
        <x:f aca="0">IF(AND(ISNUMBER(H29),G29&gt;0),100*H29/G29,"")</x:f>
      </x:c>
      <x:c r="J29" s="58" t="n">
        <x:f aca="0">IF(COUNTIF(Library!$B$3:$B$58,C29)&lt;&gt;1,"",INDEX(Library!$D$3:$D$58,MATCH(C29,Library!$B$3:$B$58,0)))</x:f>
        <x:v>3</x:v>
      </x:c>
      <x:c r="K29" s="59" t="n">
        <x:f aca="0">Daily!M9</x:f>
        <x:v>0</x:v>
      </x:c>
      <x:c r="L29" s="60" t="n">
        <x:f aca="0">IF(COUNTIF(Library!$B$3:$B$58,C29)&lt;&gt;1,"",IF(COUNTIFS(Library!$B$3:$B$58,C29,Library!$E$3:$E$58,"&lt;&gt;")=0,0,INDEX(Library!$E$3:$E$58,MATCH(C29,Library!$B$3:$B$58,0))))</x:f>
        <x:v>0</x:v>
      </x:c>
      <x:c r="M29" s="58" t="n">
        <x:f aca="0">IF(COUNT(J29:L29)&lt;&gt;3,"",MIN(10,J29*(1+K29*L29)))</x:f>
        <x:v>3</x:v>
      </x:c>
      <x:c r="N29" s="58">
        <x:f>E29</x:f>
        <x:v>3</x:v>
      </x:c>
      <x:c r="O29" s="58">
        <x:f>IF(COUNT(M29:N29)&lt;&gt;2,"",M29*N29)</x:f>
        <x:v>9</x:v>
      </x:c>
      <x:c r="P29" s="58">
        <x:f>IF(COUNT(O29:O33)&lt;&gt;COUNT(N29:N33),"",ROUND(SUM(O29:O33)/SUM(N29:N33),1))</x:f>
        <x:v>3.8</x:v>
      </x:c>
      <x:c r="Q29" s="58" t="str">
        <x:f>IF(COUNT(I29:I33)=0,"",MEDIAN(I29:I33))</x:f>
      </x:c>
      <x:c r="R29" s="15" t="n">
        <x:f>COUNT(I29:I33)</x:f>
        <x:v>0</x:v>
      </x:c>
      <x:c r="S29" s="15" t="n">
        <x:v>5</x:v>
      </x:c>
    </x:row>
    <x:row r="30" ht="24" hidden="0" customHeight="1">
      <x:c r="A30" s="79" t="n">
        <x:f aca="0">Daily!A9</x:f>
        <x:v>46337.5</x:v>
      </x:c>
      <x:c r="B30" s="16" t="str">
        <x:f aca="0">Daily!D9</x:f>
        <x:v>Handstand movement and strength</x:v>
      </x:c>
      <x:c r="C30" s="15" t="str">
        <x:v>Elevated pike push-up</x:v>
      </x:c>
      <x:c r="D30" s="15" t="str">
        <x:v>reps</x:v>
      </x:c>
      <x:c r="E30" s="15" t="n">
        <x:v>4</x:v>
      </x:c>
      <x:c r="F30" s="15" t="n">
        <x:v>8</x:v>
      </x:c>
      <x:c r="G30" s="15" t="n">
        <x:f aca="0">E30*F30</x:f>
        <x:v>32</x:v>
      </x:c>
      <x:c r="H30" s="15" t="str">
        <x:f aca="0">IF(AND(Daily!G9=TRUE,COUNT(Daily!N9,Daily!O9,Daily!P9,Daily!Q9)&gt;0),SUM(Daily!N9,Daily!O9,Daily!P9,Daily!Q9),"")</x:f>
      </x:c>
      <x:c r="I30" s="58" t="str">
        <x:f aca="0">IF(AND(ISNUMBER(H30),G30&gt;0),100*H30/G30,"")</x:f>
      </x:c>
      <x:c r="J30" s="58" t="n">
        <x:f aca="0">IF(COUNTIF(Library!$B$3:$B$58,C30)&lt;&gt;1,"",INDEX(Library!$D$3:$D$58,MATCH(C30,Library!$B$3:$B$58,0)))</x:f>
        <x:v>4</x:v>
      </x:c>
      <x:c r="K30" s="59" t="n">
        <x:f aca="0">Daily!S9</x:f>
        <x:v>0</x:v>
      </x:c>
      <x:c r="L30" s="60" t="n">
        <x:f aca="0">IF(COUNTIF(Library!$B$3:$B$58,C30)&lt;&gt;1,"",IF(COUNTIFS(Library!$B$3:$B$58,C30,Library!$E$3:$E$58,"&lt;&gt;")=0,0,INDEX(Library!$E$3:$E$58,MATCH(C30,Library!$B$3:$B$58,0))))</x:f>
        <x:v>0</x:v>
      </x:c>
      <x:c r="M30" s="58" t="n">
        <x:f aca="0">IF(COUNT(J30:L30)&lt;&gt;3,"",MIN(10,J30*(1+K30*L30)))</x:f>
        <x:v>4</x:v>
      </x:c>
      <x:c r="N30" s="58">
        <x:f>E30</x:f>
        <x:v>4</x:v>
      </x:c>
      <x:c r="O30" s="58">
        <x:f>IF(COUNT(M30:N30)&lt;&gt;2,"",M30*N30)</x:f>
        <x:v>16</x:v>
      </x:c>
      <x:c r="P30" s="58"/>
      <x:c r="Q30" s="58"/>
      <x:c r="R30" s="15"/>
      <x:c r="S30" s="15"/>
    </x:row>
    <x:row r="31" ht="24" hidden="0" customHeight="1">
      <x:c r="A31" s="79" t="n">
        <x:f aca="0">Daily!A9</x:f>
        <x:v>46337.5</x:v>
      </x:c>
      <x:c r="B31" s="16" t="str">
        <x:f aca="0">Daily!D9</x:f>
        <x:v>Handstand movement and strength</x:v>
      </x:c>
      <x:c r="C31" s="15" t="str">
        <x:v>Pull-up</x:v>
      </x:c>
      <x:c r="D31" s="15" t="str">
        <x:v>reps</x:v>
      </x:c>
      <x:c r="E31" s="15" t="n">
        <x:v>4</x:v>
      </x:c>
      <x:c r="F31" s="15" t="n">
        <x:v>6</x:v>
      </x:c>
      <x:c r="G31" s="15" t="n">
        <x:f aca="0">E31*F31</x:f>
        <x:v>24</x:v>
      </x:c>
      <x:c r="H31" s="15" t="str">
        <x:f aca="0">IF(AND(Daily!G9=TRUE,COUNT(Daily!T9,Daily!U9,Daily!V9,Daily!W9)&gt;0),SUM(Daily!T9,Daily!U9,Daily!V9,Daily!W9),"")</x:f>
      </x:c>
      <x:c r="I31" s="58" t="str">
        <x:f aca="0">IF(AND(ISNUMBER(H31),G31&gt;0),100*H31/G31,"")</x:f>
      </x:c>
      <x:c r="J31" s="58" t="n">
        <x:f aca="0">IF(COUNTIF(Library!$B$3:$B$58,C31)&lt;&gt;1,"",INDEX(Library!$D$3:$D$58,MATCH(C31,Library!$B$3:$B$58,0)))</x:f>
        <x:v>6</x:v>
      </x:c>
      <x:c r="K31" s="59" t="n">
        <x:f aca="0">Daily!Y9</x:f>
        <x:v>0</x:v>
      </x:c>
      <x:c r="L31" s="60" t="n">
        <x:f aca="0">IF(COUNTIF(Library!$B$3:$B$58,C31)&lt;&gt;1,"",IF(COUNTIFS(Library!$B$3:$B$58,C31,Library!$E$3:$E$58,"&lt;&gt;")=0,0,INDEX(Library!$E$3:$E$58,MATCH(C31,Library!$B$3:$B$58,0))))</x:f>
        <x:v>0.04</x:v>
      </x:c>
      <x:c r="M31" s="58" t="n">
        <x:f aca="0">IF(COUNT(J31:L31)&lt;&gt;3,"",MIN(10,J31*(1+K31*L31)))</x:f>
        <x:v>6</x:v>
      </x:c>
      <x:c r="N31" s="58">
        <x:f>E31</x:f>
        <x:v>4</x:v>
      </x:c>
      <x:c r="O31" s="58">
        <x:f>IF(COUNT(M31:N31)&lt;&gt;2,"",M31*N31)</x:f>
        <x:v>24</x:v>
      </x:c>
      <x:c r="P31" s="58"/>
      <x:c r="Q31" s="58"/>
      <x:c r="R31" s="15"/>
      <x:c r="S31" s="15"/>
    </x:row>
    <x:row r="32" ht="24" hidden="0" customHeight="1">
      <x:c r="A32" s="79" t="n">
        <x:f aca="0">Daily!A9</x:f>
        <x:v>46337.5</x:v>
      </x:c>
      <x:c r="B32" s="16" t="str">
        <x:f aca="0">Daily!D9</x:f>
        <x:v>Handstand movement and strength</x:v>
      </x:c>
      <x:c r="C32" s="15" t="str">
        <x:v>Box pistol</x:v>
      </x:c>
      <x:c r="D32" s="15" t="str">
        <x:v>reps/leg</x:v>
      </x:c>
      <x:c r="E32" s="15" t="n">
        <x:v>4</x:v>
      </x:c>
      <x:c r="F32" s="15" t="n">
        <x:v>5</x:v>
      </x:c>
      <x:c r="G32" s="15" t="n">
        <x:f aca="0">E32*F32</x:f>
        <x:v>20</x:v>
      </x:c>
      <x:c r="H32" s="15" t="str">
        <x:f aca="0">IF(AND(Daily!G9=TRUE,COUNT(Daily!Z9,Daily!AA9,Daily!AB9,Daily!AC9)&gt;0),SUM(Daily!Z9,Daily!AA9,Daily!AB9,Daily!AC9),"")</x:f>
      </x:c>
      <x:c r="I32" s="58" t="str">
        <x:f aca="0">IF(AND(ISNUMBER(H32),G32&gt;0),100*H32/G32,"")</x:f>
      </x:c>
      <x:c r="J32" s="58" t="n">
        <x:f aca="0">IF(COUNTIF(Library!$B$3:$B$58,C32)&lt;&gt;1,"",INDEX(Library!$D$3:$D$58,MATCH(C32,Library!$B$3:$B$58,0)))</x:f>
        <x:v>2</x:v>
      </x:c>
      <x:c r="K32" s="59" t="n">
        <x:f aca="0">Daily!AE9</x:f>
        <x:v>0</x:v>
      </x:c>
      <x:c r="L32" s="60" t="n">
        <x:f aca="0">IF(COUNTIF(Library!$B$3:$B$58,C32)&lt;&gt;1,"",IF(COUNTIFS(Library!$B$3:$B$58,C32,Library!$E$3:$E$58,"&lt;&gt;")=0,0,INDEX(Library!$E$3:$E$58,MATCH(C32,Library!$B$3:$B$58,0))))</x:f>
        <x:v>0.03</x:v>
      </x:c>
      <x:c r="M32" s="58" t="n">
        <x:f aca="0">IF(COUNT(J32:L32)&lt;&gt;3,"",MIN(10,J32*(1+K32*L32)))</x:f>
        <x:v>2</x:v>
      </x:c>
      <x:c r="N32" s="58">
        <x:f>E32</x:f>
        <x:v>4</x:v>
      </x:c>
      <x:c r="O32" s="58">
        <x:f>IF(COUNT(M32:N32)&lt;&gt;2,"",M32*N32)</x:f>
        <x:v>8</x:v>
      </x:c>
      <x:c r="P32" s="58"/>
      <x:c r="Q32" s="58"/>
      <x:c r="R32" s="15"/>
      <x:c r="S32" s="15"/>
    </x:row>
    <x:row r="33" ht="24" hidden="0" customHeight="1">
      <x:c r="A33" s="79" t="n">
        <x:f aca="0">Daily!A9</x:f>
        <x:v>46337.5</x:v>
      </x:c>
      <x:c r="B33" s="16" t="str">
        <x:f aca="0">Daily!D9</x:f>
        <x:v>Handstand movement and strength</x:v>
      </x:c>
      <x:c r="C33" s="15" t="str">
        <x:v>Bar row</x:v>
      </x:c>
      <x:c r="D33" s="15" t="str">
        <x:v>reps</x:v>
      </x:c>
      <x:c r="E33" s="15" t="n">
        <x:v>4</x:v>
      </x:c>
      <x:c r="F33" s="15" t="n">
        <x:v>12</x:v>
      </x:c>
      <x:c r="G33" s="15" t="n">
        <x:f aca="0">E33*F33</x:f>
        <x:v>48</x:v>
      </x:c>
      <x:c r="H33" s="15" t="str">
        <x:f aca="0">IF(AND(Daily!G9=TRUE,COUNT(Daily!AF9,Daily!AG9,Daily!AH9,Daily!AI9)&gt;0),SUM(Daily!AF9,Daily!AG9,Daily!AH9,Daily!AI9),"")</x:f>
      </x:c>
      <x:c r="I33" s="58" t="str">
        <x:f aca="0">IF(AND(ISNUMBER(H33),G33&gt;0),100*H33/G33,"")</x:f>
      </x:c>
      <x:c r="J33" s="58" t="n">
        <x:f aca="0">IF(COUNTIF(Library!$B$3:$B$58,C33)&lt;&gt;1,"",INDEX(Library!$D$3:$D$58,MATCH(C33,Library!$B$3:$B$58,0)))</x:f>
        <x:v>4</x:v>
      </x:c>
      <x:c r="K33" s="59" t="n">
        <x:f aca="0">Daily!AK9</x:f>
        <x:v>0</x:v>
      </x:c>
      <x:c r="L33" s="60" t="n">
        <x:f aca="0">IF(COUNTIF(Library!$B$3:$B$58,C33)&lt;&gt;1,"",IF(COUNTIFS(Library!$B$3:$B$58,C33,Library!$E$3:$E$58,"&lt;&gt;")=0,0,INDEX(Library!$E$3:$E$58,MATCH(C33,Library!$B$3:$B$58,0))))</x:f>
        <x:v>0.04</x:v>
      </x:c>
      <x:c r="M33" s="58" t="n">
        <x:f aca="0">IF(COUNT(J33:L33)&lt;&gt;3,"",MIN(10,J33*(1+K33*L33)))</x:f>
        <x:v>4</x:v>
      </x:c>
      <x:c r="N33" s="58">
        <x:f>E33</x:f>
        <x:v>4</x:v>
      </x:c>
      <x:c r="O33" s="58">
        <x:f>IF(COUNT(M33:N33)&lt;&gt;2,"",M33*N33)</x:f>
        <x:v>16</x:v>
      </x:c>
      <x:c r="P33" s="58"/>
      <x:c r="Q33" s="58"/>
      <x:c r="R33" s="15"/>
      <x:c r="S33" s="15"/>
    </x:row>
    <x:row r="34" ht="24" hidden="0" customHeight="1">
      <x:c r="A34" s="79" t="n">
        <x:f aca="0">Daily!A10</x:f>
        <x:v>46339.5</x:v>
      </x:c>
      <x:c r="B34" s="16" t="str">
        <x:f aca="0">Daily!D10</x:f>
        <x:v>Muscle-up movement + Cal-Intervals</x:v>
      </x:c>
      <x:c r="C34" s="15" t="str">
        <x:v>Low-bar transition</x:v>
      </x:c>
      <x:c r="D34" s="15" t="str">
        <x:v>reps</x:v>
      </x:c>
      <x:c r="E34" s="15" t="n">
        <x:v>4</x:v>
      </x:c>
      <x:c r="F34" s="15" t="n">
        <x:v>3</x:v>
      </x:c>
      <x:c r="G34" s="15" t="n">
        <x:f aca="0">E34*F34</x:f>
        <x:v>12</x:v>
      </x:c>
      <x:c r="H34" s="15" t="str">
        <x:f aca="0">IF(AND(Daily!G10=TRUE,COUNT(Daily!H10,Daily!I10,Daily!J10,Daily!K10)&gt;0),SUM(Daily!H10,Daily!I10,Daily!J10,Daily!K10),"")</x:f>
      </x:c>
      <x:c r="I34" s="58" t="str">
        <x:f aca="0">IF(AND(ISNUMBER(H34),G34&gt;0),100*H34/G34,"")</x:f>
      </x:c>
      <x:c r="J34" s="58" t="n">
        <x:f aca="0">IF(COUNTIF(Library!$B$3:$B$58,C34)&lt;&gt;1,"",INDEX(Library!$D$3:$D$58,MATCH(C34,Library!$B$3:$B$58,0)))</x:f>
        <x:v>4</x:v>
      </x:c>
      <x:c r="K34" s="59" t="n">
        <x:f aca="0">Daily!M10</x:f>
        <x:v>0</x:v>
      </x:c>
      <x:c r="L34" s="60" t="n">
        <x:f aca="0">IF(COUNTIF(Library!$B$3:$B$58,C34)&lt;&gt;1,"",IF(COUNTIFS(Library!$B$3:$B$58,C34,Library!$E$3:$E$58,"&lt;&gt;")=0,0,INDEX(Library!$E$3:$E$58,MATCH(C34,Library!$B$3:$B$58,0))))</x:f>
        <x:v>0</x:v>
      </x:c>
      <x:c r="M34" s="58" t="n">
        <x:f aca="0">IF(COUNT(J34:L34)&lt;&gt;3,"",MIN(10,J34*(1+K34*L34)))</x:f>
        <x:v>4</x:v>
      </x:c>
      <x:c r="N34" s="58">
        <x:f>E34</x:f>
        <x:v>4</x:v>
      </x:c>
      <x:c r="O34" s="58">
        <x:f>IF(COUNT(M34:N34)&lt;&gt;2,"",M34*N34)</x:f>
        <x:v>16</x:v>
      </x:c>
      <x:c r="P34" s="58">
        <x:f>IF(COUNT(O34:O38)&lt;&gt;COUNT(N34:N38),"",ROUND(SUM(O34:O38)/SUM(N34:N38),1))</x:f>
        <x:v>4.4</x:v>
      </x:c>
      <x:c r="Q34" s="58" t="str">
        <x:f>IF(COUNT(I34:I38)=0,"",MEDIAN(I34:I38))</x:f>
      </x:c>
      <x:c r="R34" s="15" t="n">
        <x:f>COUNT(I34:I38)</x:f>
        <x:v>0</x:v>
      </x:c>
      <x:c r="S34" s="15" t="n">
        <x:v>5</x:v>
      </x:c>
    </x:row>
    <x:row r="35" ht="24" hidden="0" customHeight="1">
      <x:c r="A35" s="79" t="n">
        <x:f aca="0">Daily!A10</x:f>
        <x:v>46339.5</x:v>
      </x:c>
      <x:c r="B35" s="16" t="str">
        <x:f aca="0">Daily!D10</x:f>
        <x:v>Muscle-up movement + Cal-Intervals</x:v>
      </x:c>
      <x:c r="C35" s="15" t="str">
        <x:v>Handstand walk</x:v>
      </x:c>
      <x:c r="D35" s="15" t="str">
        <x:v>m</x:v>
      </x:c>
      <x:c r="E35" s="15" t="n">
        <x:v>4</x:v>
      </x:c>
      <x:c r="F35" s="15" t="n">
        <x:v>3</x:v>
      </x:c>
      <x:c r="G35" s="15" t="n">
        <x:f aca="0">E35*F35</x:f>
        <x:v>12</x:v>
      </x:c>
      <x:c r="H35" s="15" t="str">
        <x:f aca="0">IF(AND(Daily!G10=TRUE,COUNT(Daily!N10,Daily!O10,Daily!P10,Daily!Q10)&gt;0),SUM(Daily!N10,Daily!O10,Daily!P10,Daily!Q10),"")</x:f>
      </x:c>
      <x:c r="I35" s="58" t="str">
        <x:f aca="0">IF(AND(ISNUMBER(H35),G35&gt;0),100*H35/G35,"")</x:f>
      </x:c>
      <x:c r="J35" s="58" t="n">
        <x:f aca="0">IF(COUNTIF(Library!$B$3:$B$58,C35)&lt;&gt;1,"",INDEX(Library!$D$3:$D$58,MATCH(C35,Library!$B$3:$B$58,0)))</x:f>
        <x:v>3</x:v>
      </x:c>
      <x:c r="K35" s="59" t="n">
        <x:f aca="0">Daily!S10</x:f>
        <x:v>0</x:v>
      </x:c>
      <x:c r="L35" s="60" t="n">
        <x:f aca="0">IF(COUNTIF(Library!$B$3:$B$58,C35)&lt;&gt;1,"",IF(COUNTIFS(Library!$B$3:$B$58,C35,Library!$E$3:$E$58,"&lt;&gt;")=0,0,INDEX(Library!$E$3:$E$58,MATCH(C35,Library!$B$3:$B$58,0))))</x:f>
        <x:v>0</x:v>
      </x:c>
      <x:c r="M35" s="58" t="n">
        <x:f aca="0">IF(COUNT(J35:L35)&lt;&gt;3,"",MIN(10,J35*(1+K35*L35)))</x:f>
        <x:v>3</x:v>
      </x:c>
      <x:c r="N35" s="58">
        <x:f>E35</x:f>
        <x:v>4</x:v>
      </x:c>
      <x:c r="O35" s="58">
        <x:f>IF(COUNT(M35:N35)&lt;&gt;2,"",M35*N35)</x:f>
        <x:v>12</x:v>
      </x:c>
      <x:c r="P35" s="58"/>
      <x:c r="Q35" s="58"/>
      <x:c r="R35" s="15"/>
      <x:c r="S35" s="15"/>
    </x:row>
    <x:row r="36" ht="24" hidden="0" customHeight="1">
      <x:c r="A36" s="79" t="n">
        <x:f aca="0">Daily!A10</x:f>
        <x:v>46339.5</x:v>
      </x:c>
      <x:c r="B36" s="16" t="str">
        <x:f aca="0">Daily!D10</x:f>
        <x:v>Muscle-up movement + Cal-Intervals</x:v>
      </x:c>
      <x:c r="C36" s="15" t="str">
        <x:v>Straight-bar dip</x:v>
      </x:c>
      <x:c r="D36" s="15" t="str">
        <x:v>reps</x:v>
      </x:c>
      <x:c r="E36" s="15" t="n">
        <x:v>4</x:v>
      </x:c>
      <x:c r="F36" s="15" t="n">
        <x:v>8</x:v>
      </x:c>
      <x:c r="G36" s="15" t="n">
        <x:f>E36*F36</x:f>
        <x:v>32</x:v>
      </x:c>
      <x:c r="H36" s="15" t="str">
        <x:f aca="0">IF(AND(Daily!G10=TRUE,COUNT(Daily!T10,Daily!U10,Daily!V10,Daily!W10)&gt;0),SUM(Daily!T10,Daily!U10,Daily!V10,Daily!W10),"")</x:f>
      </x:c>
      <x:c r="I36" s="58" t="str">
        <x:f aca="0">IF(AND(ISNUMBER(H36),G36&gt;0),100*H36/G36,"")</x:f>
      </x:c>
      <x:c r="J36" s="58" t="n">
        <x:f aca="0">IF(COUNTIF(Library!$B$3:$B$58,C36)&lt;&gt;1,"",INDEX(Library!$D$3:$D$58,MATCH(C36,Library!$B$3:$B$58,0)))</x:f>
        <x:v>4</x:v>
      </x:c>
      <x:c r="K36" s="59" t="n">
        <x:f>Daily!Y10</x:f>
        <x:v>0</x:v>
      </x:c>
      <x:c r="L36" s="60" t="n">
        <x:f>IF(COUNTIF(Library!$B$3:$B$58,C36)&lt;&gt;1,"",IF(COUNTIFS(Library!$B$3:$B$58,C36,Library!$E$3:$E$58,"&lt;&gt;")=0,0,INDEX(Library!$E$3:$E$58,MATCH(C36,Library!$B$3:$B$58,0))))</x:f>
        <x:v>0.02</x:v>
      </x:c>
      <x:c r="M36" s="58" t="n">
        <x:f aca="0">IF(COUNT(J36:L36)&lt;&gt;3,"",MIN(10,J36*(1+K36*L36)))</x:f>
        <x:v>4</x:v>
      </x:c>
      <x:c r="N36" s="58">
        <x:f>E36</x:f>
        <x:v>4</x:v>
      </x:c>
      <x:c r="O36" s="58">
        <x:f>IF(COUNT(M36:N36)&lt;&gt;2,"",M36*N36)</x:f>
        <x:v>16</x:v>
      </x:c>
      <x:c r="P36" s="58"/>
      <x:c r="Q36" s="58"/>
      <x:c r="R36" s="15"/>
      <x:c r="S36" s="15"/>
    </x:row>
    <x:row r="37" ht="24" hidden="0" customHeight="1">
      <x:c r="A37" s="79" t="n">
        <x:f aca="0">Daily!A10</x:f>
        <x:v>46339.5</x:v>
      </x:c>
      <x:c r="B37" s="16" t="str">
        <x:f aca="0">Daily!D10</x:f>
        <x:v>Muscle-up movement + Cal-Intervals</x:v>
      </x:c>
      <x:c r="C37" s="15" t="str">
        <x:v>Elevated pike push-up</x:v>
      </x:c>
      <x:c r="D37" s="15" t="str">
        <x:v>reps</x:v>
      </x:c>
      <x:c r="E37" s="15" t="n">
        <x:v>4</x:v>
      </x:c>
      <x:c r="F37" s="15" t="n">
        <x:v>8</x:v>
      </x:c>
      <x:c r="G37" s="15" t="n">
        <x:f aca="0">E37*F37</x:f>
        <x:v>32</x:v>
      </x:c>
      <x:c r="H37" s="15" t="str">
        <x:f aca="0">IF(AND(Daily!G10=TRUE,COUNT(Daily!Z10,Daily!AA10,Daily!AB10,Daily!AC10)&gt;0),SUM(Daily!Z10,Daily!AA10,Daily!AB10,Daily!AC10),"")</x:f>
      </x:c>
      <x:c r="I37" s="58" t="str">
        <x:f aca="0">IF(AND(ISNUMBER(H37),G37&gt;0),100*H37/G37,"")</x:f>
      </x:c>
      <x:c r="J37" s="58" t="n">
        <x:f aca="0">IF(COUNTIF(Library!$B$3:$B$58,C37)&lt;&gt;1,"",INDEX(Library!$D$3:$D$58,MATCH(C37,Library!$B$3:$B$58,0)))</x:f>
        <x:v>4</x:v>
      </x:c>
      <x:c r="K37" s="59" t="n">
        <x:f aca="0">Daily!AE10</x:f>
        <x:v>0</x:v>
      </x:c>
      <x:c r="L37" s="60" t="n">
        <x:f aca="0">IF(COUNTIF(Library!$B$3:$B$58,C37)&lt;&gt;1,"",IF(COUNTIFS(Library!$B$3:$B$58,C37,Library!$E$3:$E$58,"&lt;&gt;")=0,0,INDEX(Library!$E$3:$E$58,MATCH(C37,Library!$B$3:$B$58,0))))</x:f>
        <x:v>0</x:v>
      </x:c>
      <x:c r="M37" s="58" t="n">
        <x:f aca="0">IF(COUNT(J37:L37)&lt;&gt;3,"",MIN(10,J37*(1+K37*L37)))</x:f>
        <x:v>4</x:v>
      </x:c>
      <x:c r="N37" s="58">
        <x:f>E37</x:f>
        <x:v>4</x:v>
      </x:c>
      <x:c r="O37" s="58">
        <x:f>IF(COUNT(M37:N37)&lt;&gt;2,"",M37*N37)</x:f>
        <x:v>16</x:v>
      </x:c>
      <x:c r="P37" s="58"/>
      <x:c r="Q37" s="58"/>
      <x:c r="R37" s="15"/>
      <x:c r="S37" s="15"/>
    </x:row>
    <x:row r="38" ht="24" hidden="0" customHeight="1">
      <x:c r="A38" s="79" t="n">
        <x:f aca="0">Daily!A10</x:f>
        <x:v>46339.5</x:v>
      </x:c>
      <x:c r="B38" s="16" t="str">
        <x:f aca="0">Daily!D10</x:f>
        <x:v>Muscle-up movement + Cal-Intervals</x:v>
      </x:c>
      <x:c r="C38" s="15" t="str">
        <x:v>Cal-Intervals</x:v>
      </x:c>
      <x:c r="D38" s="15" t="str">
        <x:v>rounds</x:v>
      </x:c>
      <x:c r="E38" s="15" t="n">
        <x:v>1</x:v>
      </x:c>
      <x:c r="F38" s="15" t="n">
        <x:v>5</x:v>
      </x:c>
      <x:c r="G38" s="15" t="n">
        <x:v>5</x:v>
      </x:c>
      <x:c r="H38" s="15" t="str">
        <x:f aca="0">IF(AND(Daily!G10=TRUE,ISNUMBER(Daily!AL10),Daily!AL10&gt;0),Daily!AL10,"")</x:f>
      </x:c>
      <x:c r="I38" s="58" t="str">
        <x:f aca="0">IF(ISNUMBER(H38),100*H38/G38,"")</x:f>
      </x:c>
      <x:c r="J38" s="58" t="n">
        <x:f aca="0">SUM(Library!F67:F70)/SUM(Library!E67:E70)</x:f>
        <x:v>5</x:v>
      </x:c>
      <x:c r="K38" s="59"/>
      <x:c r="L38" s="60"/>
      <x:c r="M38" s="58" t="n">
        <x:f aca="0">J38</x:f>
        <x:v>5</x:v>
      </x:c>
      <x:c r="N38" s="58">
        <x:f>G38*COUNT(Library!B67:B70)</x:f>
        <x:v>20</x:v>
      </x:c>
      <x:c r="O38" s="58">
        <x:f>IF(COUNT(M38:N38)&lt;&gt;2,"",M38*N38)</x:f>
        <x:v>100</x:v>
      </x:c>
      <x:c r="P38" s="58"/>
      <x:c r="Q38" s="58"/>
      <x:c r="R38" s="15"/>
      <x:c r="S38" s="15"/>
    </x:row>
    <x:row r="39" ht="24" hidden="0" customHeight="1">
      <x:c r="A39" s="79" t="n">
        <x:f aca="0">Daily!A11</x:f>
        <x:v>46342.5</x:v>
      </x:c>
      <x:c r="B39" s="16" t="str">
        <x:f aca="0">Daily!D11</x:f>
        <x:v>Pull and muscle-up strength</x:v>
      </x:c>
      <x:c r="C39" s="15" t="str">
        <x:v>High pull</x:v>
      </x:c>
      <x:c r="D39" s="15" t="str">
        <x:v>reps</x:v>
      </x:c>
      <x:c r="E39" s="15" t="n">
        <x:v>4</x:v>
      </x:c>
      <x:c r="F39" s="15" t="n">
        <x:v>3</x:v>
      </x:c>
      <x:c r="G39" s="15" t="n">
        <x:f aca="0">E39*F39</x:f>
        <x:v>12</x:v>
      </x:c>
      <x:c r="H39" s="15" t="str">
        <x:f aca="0">IF(AND(Daily!G11=TRUE,COUNT(Daily!H11,Daily!I11,Daily!J11,Daily!K11)&gt;0),SUM(Daily!H11,Daily!I11,Daily!J11,Daily!K11),"")</x:f>
      </x:c>
      <x:c r="I39" s="58" t="str">
        <x:f aca="0">IF(AND(ISNUMBER(H39),G39&gt;0),100*H39/G39,"")</x:f>
      </x:c>
      <x:c r="J39" s="58" t="n">
        <x:f aca="0">IF(COUNTIF(Library!$B$3:$B$58,C39)&lt;&gt;1,"",INDEX(Library!$D$3:$D$58,MATCH(C39,Library!$B$3:$B$58,0)))</x:f>
        <x:v>4</x:v>
      </x:c>
      <x:c r="K39" s="59" t="n">
        <x:f aca="0">Daily!M11</x:f>
        <x:v>0</x:v>
      </x:c>
      <x:c r="L39" s="60" t="n">
        <x:f aca="0">IF(COUNTIF(Library!$B$3:$B$58,C39)&lt;&gt;1,"",IF(COUNTIFS(Library!$B$3:$B$58,C39,Library!$E$3:$E$58,"&lt;&gt;")=0,0,INDEX(Library!$E$3:$E$58,MATCH(C39,Library!$B$3:$B$58,0))))</x:f>
        <x:v>0.04</x:v>
      </x:c>
      <x:c r="M39" s="58" t="n">
        <x:f aca="0">IF(COUNT(J39:L39)&lt;&gt;3,"",MIN(10,J39*(1+K39*L39)))</x:f>
        <x:v>4</x:v>
      </x:c>
      <x:c r="N39" s="58">
        <x:f>E39</x:f>
        <x:v>4</x:v>
      </x:c>
      <x:c r="O39" s="58">
        <x:f>IF(COUNT(M39:N39)&lt;&gt;2,"",M39*N39)</x:f>
        <x:v>16</x:v>
      </x:c>
      <x:c r="P39" s="58">
        <x:f>IF(COUNT(O39:O43)&lt;&gt;COUNT(N39:N43),"",ROUND(SUM(O39:O43)/SUM(N39:N43),1))</x:f>
        <x:v>4</x:v>
      </x:c>
      <x:c r="Q39" s="58" t="str">
        <x:f>IF(COUNT(I39:I43)=0,"",MEDIAN(I39:I43))</x:f>
      </x:c>
      <x:c r="R39" s="15" t="n">
        <x:f>COUNT(I39:I43)</x:f>
        <x:v>0</x:v>
      </x:c>
      <x:c r="S39" s="15" t="n">
        <x:v>5</x:v>
      </x:c>
    </x:row>
    <x:row r="40" ht="24" hidden="0" customHeight="1">
      <x:c r="A40" s="79" t="n">
        <x:f aca="0">Daily!A11</x:f>
        <x:v>46342.5</x:v>
      </x:c>
      <x:c r="B40" s="16" t="str">
        <x:f aca="0">Daily!D11</x:f>
        <x:v>Pull and muscle-up strength</x:v>
      </x:c>
      <x:c r="C40" s="15" t="str">
        <x:v>Pull-up</x:v>
      </x:c>
      <x:c r="D40" s="15" t="str">
        <x:v>reps</x:v>
      </x:c>
      <x:c r="E40" s="15" t="n">
        <x:v>4</x:v>
      </x:c>
      <x:c r="F40" s="15" t="n">
        <x:v>6</x:v>
      </x:c>
      <x:c r="G40" s="15" t="n">
        <x:f aca="0">E40*F40</x:f>
        <x:v>24</x:v>
      </x:c>
      <x:c r="H40" s="15" t="str">
        <x:f aca="0">IF(AND(Daily!G11=TRUE,COUNT(Daily!N11,Daily!O11,Daily!P11,Daily!Q11)&gt;0),SUM(Daily!N11,Daily!O11,Daily!P11,Daily!Q11),"")</x:f>
      </x:c>
      <x:c r="I40" s="58" t="str">
        <x:f aca="0">IF(AND(ISNUMBER(H40),G40&gt;0),100*H40/G40,"")</x:f>
      </x:c>
      <x:c r="J40" s="58" t="n">
        <x:f aca="0">IF(COUNTIF(Library!$B$3:$B$58,C40)&lt;&gt;1,"",INDEX(Library!$D$3:$D$58,MATCH(C40,Library!$B$3:$B$58,0)))</x:f>
        <x:v>6</x:v>
      </x:c>
      <x:c r="K40" s="59" t="n">
        <x:f aca="0">Daily!S11</x:f>
        <x:v>0</x:v>
      </x:c>
      <x:c r="L40" s="60" t="n">
        <x:f aca="0">IF(COUNTIF(Library!$B$3:$B$58,C40)&lt;&gt;1,"",IF(COUNTIFS(Library!$B$3:$B$58,C40,Library!$E$3:$E$58,"&lt;&gt;")=0,0,INDEX(Library!$E$3:$E$58,MATCH(C40,Library!$B$3:$B$58,0))))</x:f>
        <x:v>0.04</x:v>
      </x:c>
      <x:c r="M40" s="58" t="n">
        <x:f aca="0">IF(COUNT(J40:L40)&lt;&gt;3,"",MIN(10,J40*(1+K40*L40)))</x:f>
        <x:v>6</x:v>
      </x:c>
      <x:c r="N40" s="58">
        <x:f>E40</x:f>
        <x:v>4</x:v>
      </x:c>
      <x:c r="O40" s="58">
        <x:f>IF(COUNT(M40:N40)&lt;&gt;2,"",M40*N40)</x:f>
        <x:v>24</x:v>
      </x:c>
      <x:c r="P40" s="58"/>
      <x:c r="Q40" s="58"/>
      <x:c r="R40" s="15"/>
      <x:c r="S40" s="15"/>
    </x:row>
    <x:row r="41" ht="24" hidden="0" customHeight="1">
      <x:c r="A41" s="79" t="n">
        <x:f aca="0">Daily!A11</x:f>
        <x:v>46342.5</x:v>
      </x:c>
      <x:c r="B41" s="16" t="str">
        <x:f aca="0">Daily!D11</x:f>
        <x:v>Pull and muscle-up strength</x:v>
      </x:c>
      <x:c r="C41" s="15" t="str">
        <x:v>Parallel-bar dip</x:v>
      </x:c>
      <x:c r="D41" s="15" t="str">
        <x:v>reps</x:v>
      </x:c>
      <x:c r="E41" s="15" t="n">
        <x:v>4</x:v>
      </x:c>
      <x:c r="F41" s="15" t="n">
        <x:v>12</x:v>
      </x:c>
      <x:c r="G41" s="15" t="n">
        <x:f aca="0">E41*F41</x:f>
        <x:v>48</x:v>
      </x:c>
      <x:c r="H41" s="15" t="str">
        <x:f aca="0">IF(AND(Daily!G11=TRUE,COUNT(Daily!T11,Daily!U11,Daily!V11,Daily!W11)&gt;0),SUM(Daily!T11,Daily!U11,Daily!V11,Daily!W11),"")</x:f>
      </x:c>
      <x:c r="I41" s="58" t="str">
        <x:f aca="0">IF(AND(ISNUMBER(H41),G41&gt;0),100*H41/G41,"")</x:f>
      </x:c>
      <x:c r="J41" s="58" t="n">
        <x:f aca="0">IF(COUNTIF(Library!$B$3:$B$58,C41)&lt;&gt;1,"",INDEX(Library!$D$3:$D$58,MATCH(C41,Library!$B$3:$B$58,0)))</x:f>
        <x:v>4</x:v>
      </x:c>
      <x:c r="K41" s="59" t="n">
        <x:f aca="0">Daily!Y11</x:f>
        <x:v>0</x:v>
      </x:c>
      <x:c r="L41" s="60" t="n">
        <x:f aca="0">IF(COUNTIF(Library!$B$3:$B$58,C41)&lt;&gt;1,"",IF(COUNTIFS(Library!$B$3:$B$58,C41,Library!$E$3:$E$58,"&lt;&gt;")=0,0,INDEX(Library!$E$3:$E$58,MATCH(C41,Library!$B$3:$B$58,0))))</x:f>
        <x:v>0.02</x:v>
      </x:c>
      <x:c r="M41" s="58" t="n">
        <x:f aca="0">IF(COUNT(J41:L41)&lt;&gt;3,"",MIN(10,J41*(1+K41*L41)))</x:f>
        <x:v>4</x:v>
      </x:c>
      <x:c r="N41" s="58">
        <x:f>E41</x:f>
        <x:v>4</x:v>
      </x:c>
      <x:c r="O41" s="58">
        <x:f>IF(COUNT(M41:N41)&lt;&gt;2,"",M41*N41)</x:f>
        <x:v>16</x:v>
      </x:c>
      <x:c r="P41" s="58"/>
      <x:c r="Q41" s="58"/>
      <x:c r="R41" s="15"/>
      <x:c r="S41" s="15"/>
    </x:row>
    <x:row r="42" ht="24" hidden="0" customHeight="1">
      <x:c r="A42" s="79" t="n">
        <x:f aca="0">Daily!A11</x:f>
        <x:v>46342.5</x:v>
      </x:c>
      <x:c r="B42" s="16" t="str">
        <x:f aca="0">Daily!D11</x:f>
        <x:v>Pull and muscle-up strength</x:v>
      </x:c>
      <x:c r="C42" s="15" t="str">
        <x:v>Box pistol</x:v>
      </x:c>
      <x:c r="D42" s="15" t="str">
        <x:v>reps/leg</x:v>
      </x:c>
      <x:c r="E42" s="15" t="n">
        <x:v>4</x:v>
      </x:c>
      <x:c r="F42" s="15" t="n">
        <x:v>5</x:v>
      </x:c>
      <x:c r="G42" s="15" t="n">
        <x:f aca="0">E42*F42</x:f>
        <x:v>20</x:v>
      </x:c>
      <x:c r="H42" s="15" t="str">
        <x:f aca="0">IF(AND(Daily!G11=TRUE,COUNT(Daily!Z11,Daily!AA11,Daily!AB11,Daily!AC11)&gt;0),SUM(Daily!Z11,Daily!AA11,Daily!AB11,Daily!AC11),"")</x:f>
      </x:c>
      <x:c r="I42" s="58" t="str">
        <x:f aca="0">IF(AND(ISNUMBER(H42),G42&gt;0),100*H42/G42,"")</x:f>
      </x:c>
      <x:c r="J42" s="58" t="n">
        <x:f aca="0">IF(COUNTIF(Library!$B$3:$B$58,C42)&lt;&gt;1,"",INDEX(Library!$D$3:$D$58,MATCH(C42,Library!$B$3:$B$58,0)))</x:f>
        <x:v>2</x:v>
      </x:c>
      <x:c r="K42" s="59" t="n">
        <x:f aca="0">Daily!AE11</x:f>
        <x:v>0</x:v>
      </x:c>
      <x:c r="L42" s="60" t="n">
        <x:f aca="0">IF(COUNTIF(Library!$B$3:$B$58,C42)&lt;&gt;1,"",IF(COUNTIFS(Library!$B$3:$B$58,C42,Library!$E$3:$E$58,"&lt;&gt;")=0,0,INDEX(Library!$E$3:$E$58,MATCH(C42,Library!$B$3:$B$58,0))))</x:f>
        <x:v>0.03</x:v>
      </x:c>
      <x:c r="M42" s="58" t="n">
        <x:f aca="0">IF(COUNT(J42:L42)&lt;&gt;3,"",MIN(10,J42*(1+K42*L42)))</x:f>
        <x:v>2</x:v>
      </x:c>
      <x:c r="N42" s="58">
        <x:f>E42</x:f>
        <x:v>4</x:v>
      </x:c>
      <x:c r="O42" s="58">
        <x:f>IF(COUNT(M42:N42)&lt;&gt;2,"",M42*N42)</x:f>
        <x:v>8</x:v>
      </x:c>
      <x:c r="P42" s="58"/>
      <x:c r="Q42" s="58"/>
      <x:c r="R42" s="15"/>
      <x:c r="S42" s="15"/>
    </x:row>
    <x:row r="43" ht="24" hidden="0" customHeight="1">
      <x:c r="A43" s="79" t="n">
        <x:f aca="0">Daily!A11</x:f>
        <x:v>46342.5</x:v>
      </x:c>
      <x:c r="B43" s="16" t="str">
        <x:f aca="0">Daily!D11</x:f>
        <x:v>Pull and muscle-up strength</x:v>
      </x:c>
      <x:c r="C43" s="15" t="str">
        <x:v>Sliding hamstring curl</x:v>
      </x:c>
      <x:c r="D43" s="15" t="str">
        <x:v>reps</x:v>
      </x:c>
      <x:c r="E43" s="15" t="n">
        <x:v>3</x:v>
      </x:c>
      <x:c r="F43" s="15" t="n">
        <x:v>10</x:v>
      </x:c>
      <x:c r="G43" s="15" t="n">
        <x:f aca="0">E43*F43</x:f>
        <x:v>30</x:v>
      </x:c>
      <x:c r="H43" s="15" t="str">
        <x:f aca="0">IF(AND(Daily!G11=TRUE,COUNT(Daily!AF11,Daily!AG11,Daily!AH11)&gt;0),SUM(Daily!AF11,Daily!AG11,Daily!AH11),"")</x:f>
      </x:c>
      <x:c r="I43" s="58" t="str">
        <x:f aca="0">IF(AND(ISNUMBER(H43),G43&gt;0),100*H43/G43,"")</x:f>
      </x:c>
      <x:c r="J43" s="58" t="n">
        <x:f aca="0">IF(COUNTIF(Library!$B$3:$B$58,C43)&lt;&gt;1,"",INDEX(Library!$D$3:$D$58,MATCH(C43,Library!$B$3:$B$58,0)))</x:f>
        <x:v>4</x:v>
      </x:c>
      <x:c r="K43" s="59" t="n">
        <x:f aca="0">Daily!AK11</x:f>
        <x:v>0</x:v>
      </x:c>
      <x:c r="L43" s="60" t="n">
        <x:f aca="0">IF(COUNTIF(Library!$B$3:$B$58,C43)&lt;&gt;1,"",IF(COUNTIFS(Library!$B$3:$B$58,C43,Library!$E$3:$E$58,"&lt;&gt;")=0,0,INDEX(Library!$E$3:$E$58,MATCH(C43,Library!$B$3:$B$58,0))))</x:f>
        <x:v>0</x:v>
      </x:c>
      <x:c r="M43" s="58" t="n">
        <x:f aca="0">IF(COUNT(J43:L43)&lt;&gt;3,"",MIN(10,J43*(1+K43*L43)))</x:f>
        <x:v>4</x:v>
      </x:c>
      <x:c r="N43" s="58">
        <x:f>E43</x:f>
        <x:v>3</x:v>
      </x:c>
      <x:c r="O43" s="58">
        <x:f>IF(COUNT(M43:N43)&lt;&gt;2,"",M43*N43)</x:f>
        <x:v>12</x:v>
      </x:c>
      <x:c r="P43" s="58"/>
      <x:c r="Q43" s="58"/>
      <x:c r="R43" s="15"/>
      <x:c r="S43" s="15"/>
    </x:row>
    <x:row r="44" ht="24" hidden="0" customHeight="1">
      <x:c r="A44" s="79" t="n">
        <x:f aca="0">Daily!A12</x:f>
        <x:v>46343.5</x:v>
      </x:c>
      <x:c r="B44" s="16" t="str">
        <x:f aca="0">Daily!D12</x:f>
        <x:v>Optional movement practice</x:v>
      </x:c>
      <x:c r="C44" s="15" t="str">
        <x:v>Wrist/shoulder mobility</x:v>
      </x:c>
      <x:c r="D44" s="15" t="str">
        <x:v>seconds</x:v>
      </x:c>
      <x:c r="E44" s="15" t="n">
        <x:v>1</x:v>
      </x:c>
      <x:c r="F44" s="15" t="n">
        <x:v>120</x:v>
      </x:c>
      <x:c r="G44" s="15" t="n">
        <x:f aca="0">E44*F44</x:f>
        <x:v>120</x:v>
      </x:c>
      <x:c r="H44" s="15" t="str">
        <x:f aca="0">IF(AND(Daily!G12=TRUE,COUNT(Daily!H12)&gt;0),SUM(Daily!H12)*86400,"")</x:f>
      </x:c>
      <x:c r="I44" s="58" t="str">
        <x:f aca="0">IF(AND(ISNUMBER(H44),G44&gt;0),100*H44/G44,"")</x:f>
      </x:c>
      <x:c r="J44" s="58" t="n">
        <x:f aca="0">IF(COUNTIF(Library!$B$3:$B$58,C44)&lt;&gt;1,"",INDEX(Library!$D$3:$D$58,MATCH(C44,Library!$B$3:$B$58,0)))</x:f>
        <x:v>1</x:v>
      </x:c>
      <x:c r="K44" s="59" t="n">
        <x:f aca="0">Daily!M12</x:f>
        <x:v>0</x:v>
      </x:c>
      <x:c r="L44" s="60" t="n">
        <x:f aca="0">IF(COUNTIF(Library!$B$3:$B$58,C44)&lt;&gt;1,"",IF(COUNTIFS(Library!$B$3:$B$58,C44,Library!$E$3:$E$58,"&lt;&gt;")=0,0,INDEX(Library!$E$3:$E$58,MATCH(C44,Library!$B$3:$B$58,0))))</x:f>
        <x:v>0</x:v>
      </x:c>
      <x:c r="M44" s="58" t="n">
        <x:f aca="0">IF(COUNT(J44:L44)&lt;&gt;3,"",MIN(10,J44*(1+K44*L44)))</x:f>
        <x:v>1</x:v>
      </x:c>
      <x:c r="N44" s="58">
        <x:f>E44</x:f>
        <x:v>1</x:v>
      </x:c>
      <x:c r="O44" s="58">
        <x:f>IF(COUNT(M44:N44)&lt;&gt;2,"",M44*N44)</x:f>
        <x:v>1</x:v>
      </x:c>
      <x:c r="P44" s="58">
        <x:f>IF(COUNT(O44:O46)&lt;&gt;COUNT(N44:N46),"",ROUND(SUM(O44:O46)/SUM(N44:N46),1))</x:f>
        <x:v>1</x:v>
      </x:c>
      <x:c r="Q44" s="58" t="str">
        <x:f>IF(COUNT(I44:I46)=0,"",MEDIAN(I44:I46))</x:f>
      </x:c>
      <x:c r="R44" s="15" t="n">
        <x:f>COUNT(I44:I46)</x:f>
        <x:v>0</x:v>
      </x:c>
      <x:c r="S44" s="15" t="n">
        <x:v>3</x:v>
      </x:c>
    </x:row>
    <x:row r="45" ht="24" hidden="0" customHeight="1">
      <x:c r="A45" s="79" t="n">
        <x:f aca="0">Daily!A12</x:f>
        <x:v>46343.5</x:v>
      </x:c>
      <x:c r="B45" s="16" t="str">
        <x:f aca="0">Daily!D12</x:f>
        <x:v>Optional movement practice</x:v>
      </x:c>
      <x:c r="C45" s="15" t="str">
        <x:v>Easy handstand walk</x:v>
      </x:c>
      <x:c r="D45" s="15" t="str">
        <x:v>m</x:v>
      </x:c>
      <x:c r="E45" s="15" t="n">
        <x:v>3</x:v>
      </x:c>
      <x:c r="F45" s="15" t="n">
        <x:v>2</x:v>
      </x:c>
      <x:c r="G45" s="15" t="n">
        <x:f aca="0">E45*F45</x:f>
        <x:v>6</x:v>
      </x:c>
      <x:c r="H45" s="15" t="str">
        <x:f aca="0">IF(AND(Daily!G12=TRUE,COUNT(Daily!N12,Daily!O12,Daily!P12)&gt;0),SUM(Daily!N12,Daily!O12,Daily!P12),"")</x:f>
      </x:c>
      <x:c r="I45" s="58" t="str">
        <x:f aca="0">IF(AND(ISNUMBER(H45),G45&gt;0),100*H45/G45,"")</x:f>
      </x:c>
      <x:c r="J45" s="58" t="n">
        <x:f aca="0">IF(COUNTIF(Library!$B$3:$B$58,C45)&lt;&gt;1,"",INDEX(Library!$D$3:$D$58,MATCH(C45,Library!$B$3:$B$58,0)))</x:f>
        <x:v>1</x:v>
      </x:c>
      <x:c r="K45" s="59" t="n">
        <x:f aca="0">Daily!S12</x:f>
        <x:v>0</x:v>
      </x:c>
      <x:c r="L45" s="60" t="n">
        <x:f aca="0">IF(COUNTIF(Library!$B$3:$B$58,C45)&lt;&gt;1,"",IF(COUNTIFS(Library!$B$3:$B$58,C45,Library!$E$3:$E$58,"&lt;&gt;")=0,0,INDEX(Library!$E$3:$E$58,MATCH(C45,Library!$B$3:$B$58,0))))</x:f>
        <x:v>0</x:v>
      </x:c>
      <x:c r="M45" s="58" t="n">
        <x:f aca="0">IF(COUNT(J45:L45)&lt;&gt;3,"",MIN(10,J45*(1+K45*L45)))</x:f>
        <x:v>1</x:v>
      </x:c>
      <x:c r="N45" s="58">
        <x:f>E45</x:f>
        <x:v>3</x:v>
      </x:c>
      <x:c r="O45" s="58">
        <x:f>IF(COUNT(M45:N45)&lt;&gt;2,"",M45*N45)</x:f>
        <x:v>3</x:v>
      </x:c>
      <x:c r="P45" s="58"/>
      <x:c r="Q45" s="58"/>
      <x:c r="R45" s="15"/>
      <x:c r="S45" s="15"/>
    </x:row>
    <x:row r="46" ht="24" hidden="0" customHeight="1">
      <x:c r="A46" s="79" t="n">
        <x:f aca="0">Daily!A12</x:f>
        <x:v>46343.5</x:v>
      </x:c>
      <x:c r="B46" s="16" t="str">
        <x:f aca="0">Daily!D12</x:f>
        <x:v>Optional movement practice</x:v>
      </x:c>
      <x:c r="C46" s="15" t="str">
        <x:v>Easy bear crawl</x:v>
      </x:c>
      <x:c r="D46" s="15" t="str">
        <x:v>seconds</x:v>
      </x:c>
      <x:c r="E46" s="15" t="n">
        <x:v>3</x:v>
      </x:c>
      <x:c r="F46" s="15" t="n">
        <x:v>20</x:v>
      </x:c>
      <x:c r="G46" s="15" t="n">
        <x:f aca="0">E46*F46</x:f>
        <x:v>60</x:v>
      </x:c>
      <x:c r="H46" s="15" t="str">
        <x:f aca="0">IF(AND(Daily!G12=TRUE,COUNT(Daily!T12,Daily!U12,Daily!V12)&gt;0),SUM(Daily!T12,Daily!U12,Daily!V12)*86400,"")</x:f>
      </x:c>
      <x:c r="I46" s="58" t="str">
        <x:f aca="0">IF(AND(ISNUMBER(H46),G46&gt;0),100*H46/G46,"")</x:f>
      </x:c>
      <x:c r="J46" s="58" t="n">
        <x:f aca="0">IF(COUNTIF(Library!$B$3:$B$58,C46)&lt;&gt;1,"",INDEX(Library!$D$3:$D$58,MATCH(C46,Library!$B$3:$B$58,0)))</x:f>
        <x:v>1</x:v>
      </x:c>
      <x:c r="K46" s="59" t="n">
        <x:f aca="0">Daily!Y12</x:f>
        <x:v>0</x:v>
      </x:c>
      <x:c r="L46" s="60" t="n">
        <x:f aca="0">IF(COUNTIF(Library!$B$3:$B$58,C46)&lt;&gt;1,"",IF(COUNTIFS(Library!$B$3:$B$58,C46,Library!$E$3:$E$58,"&lt;&gt;")=0,0,INDEX(Library!$E$3:$E$58,MATCH(C46,Library!$B$3:$B$58,0))))</x:f>
        <x:v>0</x:v>
      </x:c>
      <x:c r="M46" s="58" t="n">
        <x:f aca="0">IF(COUNT(J46:L46)&lt;&gt;3,"",MIN(10,J46*(1+K46*L46)))</x:f>
        <x:v>1</x:v>
      </x:c>
      <x:c r="N46" s="58">
        <x:f>E46</x:f>
        <x:v>3</x:v>
      </x:c>
      <x:c r="O46" s="58">
        <x:f>IF(COUNT(M46:N46)&lt;&gt;2,"",M46*N46)</x:f>
        <x:v>3</x:v>
      </x:c>
      <x:c r="P46" s="58"/>
      <x:c r="Q46" s="58"/>
      <x:c r="R46" s="15"/>
      <x:c r="S46" s="15"/>
    </x:row>
    <x:row r="47" ht="24" hidden="0" customHeight="1">
      <x:c r="A47" s="79" t="n">
        <x:f aca="0">Daily!A13</x:f>
        <x:v>46344.5</x:v>
      </x:c>
      <x:c r="B47" s="16" t="str">
        <x:f aca="0">Daily!D13</x:f>
        <x:v>Handstand movement and strength</x:v>
      </x:c>
      <x:c r="C47" s="15" t="str">
        <x:v>Handstand walk</x:v>
      </x:c>
      <x:c r="D47" s="15" t="str">
        <x:v>m</x:v>
      </x:c>
      <x:c r="E47" s="15" t="n">
        <x:v>3</x:v>
      </x:c>
      <x:c r="F47" s="15" t="n">
        <x:v>3</x:v>
      </x:c>
      <x:c r="G47" s="15" t="n">
        <x:f aca="0">E47*F47</x:f>
        <x:v>9</x:v>
      </x:c>
      <x:c r="H47" s="15" t="str">
        <x:f aca="0">IF(AND(Daily!G13=TRUE,COUNT(Daily!H13,Daily!I13,Daily!J13)&gt;0),SUM(Daily!H13,Daily!I13,Daily!J13),"")</x:f>
      </x:c>
      <x:c r="I47" s="58" t="str">
        <x:f aca="0">IF(AND(ISNUMBER(H47),G47&gt;0),100*H47/G47,"")</x:f>
      </x:c>
      <x:c r="J47" s="58" t="n">
        <x:f aca="0">IF(COUNTIF(Library!$B$3:$B$58,C47)&lt;&gt;1,"",INDEX(Library!$D$3:$D$58,MATCH(C47,Library!$B$3:$B$58,0)))</x:f>
        <x:v>3</x:v>
      </x:c>
      <x:c r="K47" s="59" t="n">
        <x:f aca="0">Daily!M13</x:f>
        <x:v>0</x:v>
      </x:c>
      <x:c r="L47" s="60" t="n">
        <x:f aca="0">IF(COUNTIF(Library!$B$3:$B$58,C47)&lt;&gt;1,"",IF(COUNTIFS(Library!$B$3:$B$58,C47,Library!$E$3:$E$58,"&lt;&gt;")=0,0,INDEX(Library!$E$3:$E$58,MATCH(C47,Library!$B$3:$B$58,0))))</x:f>
        <x:v>0</x:v>
      </x:c>
      <x:c r="M47" s="58" t="n">
        <x:f aca="0">IF(COUNT(J47:L47)&lt;&gt;3,"",MIN(10,J47*(1+K47*L47)))</x:f>
        <x:v>3</x:v>
      </x:c>
      <x:c r="N47" s="58">
        <x:f>E47</x:f>
        <x:v>3</x:v>
      </x:c>
      <x:c r="O47" s="58">
        <x:f>IF(COUNT(M47:N47)&lt;&gt;2,"",M47*N47)</x:f>
        <x:v>9</x:v>
      </x:c>
      <x:c r="P47" s="58">
        <x:f>IF(COUNT(O47:O51)&lt;&gt;COUNT(N47:N51),"",ROUND(SUM(O47:O51)/SUM(N47:N51),1))</x:f>
        <x:v>3.8</x:v>
      </x:c>
      <x:c r="Q47" s="58" t="str">
        <x:f>IF(COUNT(I47:I51)=0,"",MEDIAN(I47:I51))</x:f>
      </x:c>
      <x:c r="R47" s="15" t="n">
        <x:f>COUNT(I47:I51)</x:f>
        <x:v>0</x:v>
      </x:c>
      <x:c r="S47" s="15" t="n">
        <x:v>5</x:v>
      </x:c>
    </x:row>
    <x:row r="48" ht="24" hidden="0" customHeight="1">
      <x:c r="A48" s="79" t="n">
        <x:f aca="0">Daily!A13</x:f>
        <x:v>46344.5</x:v>
      </x:c>
      <x:c r="B48" s="16" t="str">
        <x:f aca="0">Daily!D13</x:f>
        <x:v>Handstand movement and strength</x:v>
      </x:c>
      <x:c r="C48" s="15" t="str">
        <x:v>Elevated pike push-up</x:v>
      </x:c>
      <x:c r="D48" s="15" t="str">
        <x:v>reps</x:v>
      </x:c>
      <x:c r="E48" s="15" t="n">
        <x:v>4</x:v>
      </x:c>
      <x:c r="F48" s="15" t="n">
        <x:v>8</x:v>
      </x:c>
      <x:c r="G48" s="15" t="n">
        <x:f aca="0">E48*F48</x:f>
        <x:v>32</x:v>
      </x:c>
      <x:c r="H48" s="15" t="str">
        <x:f aca="0">IF(AND(Daily!G13=TRUE,COUNT(Daily!N13,Daily!O13,Daily!P13,Daily!Q13)&gt;0),SUM(Daily!N13,Daily!O13,Daily!P13,Daily!Q13),"")</x:f>
      </x:c>
      <x:c r="I48" s="58" t="str">
        <x:f aca="0">IF(AND(ISNUMBER(H48),G48&gt;0),100*H48/G48,"")</x:f>
      </x:c>
      <x:c r="J48" s="58" t="n">
        <x:f aca="0">IF(COUNTIF(Library!$B$3:$B$58,C48)&lt;&gt;1,"",INDEX(Library!$D$3:$D$58,MATCH(C48,Library!$B$3:$B$58,0)))</x:f>
        <x:v>4</x:v>
      </x:c>
      <x:c r="K48" s="59" t="n">
        <x:f aca="0">Daily!S13</x:f>
        <x:v>0</x:v>
      </x:c>
      <x:c r="L48" s="60" t="n">
        <x:f aca="0">IF(COUNTIF(Library!$B$3:$B$58,C48)&lt;&gt;1,"",IF(COUNTIFS(Library!$B$3:$B$58,C48,Library!$E$3:$E$58,"&lt;&gt;")=0,0,INDEX(Library!$E$3:$E$58,MATCH(C48,Library!$B$3:$B$58,0))))</x:f>
        <x:v>0</x:v>
      </x:c>
      <x:c r="M48" s="58" t="n">
        <x:f aca="0">IF(COUNT(J48:L48)&lt;&gt;3,"",MIN(10,J48*(1+K48*L48)))</x:f>
        <x:v>4</x:v>
      </x:c>
      <x:c r="N48" s="58">
        <x:f>E48</x:f>
        <x:v>4</x:v>
      </x:c>
      <x:c r="O48" s="58">
        <x:f>IF(COUNT(M48:N48)&lt;&gt;2,"",M48*N48)</x:f>
        <x:v>16</x:v>
      </x:c>
      <x:c r="P48" s="58"/>
      <x:c r="Q48" s="58"/>
      <x:c r="R48" s="15"/>
      <x:c r="S48" s="15"/>
    </x:row>
    <x:row r="49" ht="24" hidden="0" customHeight="1">
      <x:c r="A49" s="79" t="n">
        <x:f aca="0">Daily!A13</x:f>
        <x:v>46344.5</x:v>
      </x:c>
      <x:c r="B49" s="16" t="str">
        <x:f aca="0">Daily!D13</x:f>
        <x:v>Handstand movement and strength</x:v>
      </x:c>
      <x:c r="C49" s="15" t="str">
        <x:v>Pull-up</x:v>
      </x:c>
      <x:c r="D49" s="15" t="str">
        <x:v>reps</x:v>
      </x:c>
      <x:c r="E49" s="15" t="n">
        <x:v>4</x:v>
      </x:c>
      <x:c r="F49" s="15" t="n">
        <x:v>6</x:v>
      </x:c>
      <x:c r="G49" s="15" t="n">
        <x:f aca="0">E49*F49</x:f>
        <x:v>24</x:v>
      </x:c>
      <x:c r="H49" s="15" t="str">
        <x:f aca="0">IF(AND(Daily!G13=TRUE,COUNT(Daily!T13,Daily!U13,Daily!V13,Daily!W13)&gt;0),SUM(Daily!T13,Daily!U13,Daily!V13,Daily!W13),"")</x:f>
      </x:c>
      <x:c r="I49" s="58" t="str">
        <x:f aca="0">IF(AND(ISNUMBER(H49),G49&gt;0),100*H49/G49,"")</x:f>
      </x:c>
      <x:c r="J49" s="58" t="n">
        <x:f aca="0">IF(COUNTIF(Library!$B$3:$B$58,C49)&lt;&gt;1,"",INDEX(Library!$D$3:$D$58,MATCH(C49,Library!$B$3:$B$58,0)))</x:f>
        <x:v>6</x:v>
      </x:c>
      <x:c r="K49" s="59" t="n">
        <x:f aca="0">Daily!Y13</x:f>
        <x:v>0</x:v>
      </x:c>
      <x:c r="L49" s="60" t="n">
        <x:f aca="0">IF(COUNTIF(Library!$B$3:$B$58,C49)&lt;&gt;1,"",IF(COUNTIFS(Library!$B$3:$B$58,C49,Library!$E$3:$E$58,"&lt;&gt;")=0,0,INDEX(Library!$E$3:$E$58,MATCH(C49,Library!$B$3:$B$58,0))))</x:f>
        <x:v>0.04</x:v>
      </x:c>
      <x:c r="M49" s="58" t="n">
        <x:f aca="0">IF(COUNT(J49:L49)&lt;&gt;3,"",MIN(10,J49*(1+K49*L49)))</x:f>
        <x:v>6</x:v>
      </x:c>
      <x:c r="N49" s="58">
        <x:f>E49</x:f>
        <x:v>4</x:v>
      </x:c>
      <x:c r="O49" s="58">
        <x:f>IF(COUNT(M49:N49)&lt;&gt;2,"",M49*N49)</x:f>
        <x:v>24</x:v>
      </x:c>
      <x:c r="P49" s="58"/>
      <x:c r="Q49" s="58"/>
      <x:c r="R49" s="15"/>
      <x:c r="S49" s="15"/>
    </x:row>
    <x:row r="50" ht="24" hidden="0" customHeight="1">
      <x:c r="A50" s="79" t="n">
        <x:f aca="0">Daily!A13</x:f>
        <x:v>46344.5</x:v>
      </x:c>
      <x:c r="B50" s="16" t="str">
        <x:f aca="0">Daily!D13</x:f>
        <x:v>Handstand movement and strength</x:v>
      </x:c>
      <x:c r="C50" s="15" t="str">
        <x:v>Box pistol</x:v>
      </x:c>
      <x:c r="D50" s="15" t="str">
        <x:v>reps/leg</x:v>
      </x:c>
      <x:c r="E50" s="15" t="n">
        <x:v>4</x:v>
      </x:c>
      <x:c r="F50" s="15" t="n">
        <x:v>5</x:v>
      </x:c>
      <x:c r="G50" s="15" t="n">
        <x:f aca="0">E50*F50</x:f>
        <x:v>20</x:v>
      </x:c>
      <x:c r="H50" s="15" t="str">
        <x:f aca="0">IF(AND(Daily!G13=TRUE,COUNT(Daily!Z13,Daily!AA13,Daily!AB13,Daily!AC13)&gt;0),SUM(Daily!Z13,Daily!AA13,Daily!AB13,Daily!AC13),"")</x:f>
      </x:c>
      <x:c r="I50" s="58" t="str">
        <x:f aca="0">IF(AND(ISNUMBER(H50),G50&gt;0),100*H50/G50,"")</x:f>
      </x:c>
      <x:c r="J50" s="58" t="n">
        <x:f aca="0">IF(COUNTIF(Library!$B$3:$B$58,C50)&lt;&gt;1,"",INDEX(Library!$D$3:$D$58,MATCH(C50,Library!$B$3:$B$58,0)))</x:f>
        <x:v>2</x:v>
      </x:c>
      <x:c r="K50" s="59" t="n">
        <x:f aca="0">Daily!AE13</x:f>
        <x:v>0</x:v>
      </x:c>
      <x:c r="L50" s="60" t="n">
        <x:f aca="0">IF(COUNTIF(Library!$B$3:$B$58,C50)&lt;&gt;1,"",IF(COUNTIFS(Library!$B$3:$B$58,C50,Library!$E$3:$E$58,"&lt;&gt;")=0,0,INDEX(Library!$E$3:$E$58,MATCH(C50,Library!$B$3:$B$58,0))))</x:f>
        <x:v>0.03</x:v>
      </x:c>
      <x:c r="M50" s="58" t="n">
        <x:f aca="0">IF(COUNT(J50:L50)&lt;&gt;3,"",MIN(10,J50*(1+K50*L50)))</x:f>
        <x:v>2</x:v>
      </x:c>
      <x:c r="N50" s="58">
        <x:f>E50</x:f>
        <x:v>4</x:v>
      </x:c>
      <x:c r="O50" s="58">
        <x:f>IF(COUNT(M50:N50)&lt;&gt;2,"",M50*N50)</x:f>
        <x:v>8</x:v>
      </x:c>
      <x:c r="P50" s="58"/>
      <x:c r="Q50" s="58"/>
      <x:c r="R50" s="15"/>
      <x:c r="S50" s="15"/>
    </x:row>
    <x:row r="51" ht="24" hidden="0" customHeight="1">
      <x:c r="A51" s="79" t="n">
        <x:f aca="0">Daily!A13</x:f>
        <x:v>46344.5</x:v>
      </x:c>
      <x:c r="B51" s="16" t="str">
        <x:f aca="0">Daily!D13</x:f>
        <x:v>Handstand movement and strength</x:v>
      </x:c>
      <x:c r="C51" s="15" t="str">
        <x:v>Bar row</x:v>
      </x:c>
      <x:c r="D51" s="15" t="str">
        <x:v>reps</x:v>
      </x:c>
      <x:c r="E51" s="15" t="n">
        <x:v>4</x:v>
      </x:c>
      <x:c r="F51" s="15" t="n">
        <x:v>12</x:v>
      </x:c>
      <x:c r="G51" s="15" t="n">
        <x:f aca="0">E51*F51</x:f>
        <x:v>48</x:v>
      </x:c>
      <x:c r="H51" s="15" t="str">
        <x:f aca="0">IF(AND(Daily!G13=TRUE,COUNT(Daily!AF13,Daily!AG13,Daily!AH13,Daily!AI13)&gt;0),SUM(Daily!AF13,Daily!AG13,Daily!AH13,Daily!AI13),"")</x:f>
      </x:c>
      <x:c r="I51" s="58" t="str">
        <x:f aca="0">IF(AND(ISNUMBER(H51),G51&gt;0),100*H51/G51,"")</x:f>
      </x:c>
      <x:c r="J51" s="58" t="n">
        <x:f aca="0">IF(COUNTIF(Library!$B$3:$B$58,C51)&lt;&gt;1,"",INDEX(Library!$D$3:$D$58,MATCH(C51,Library!$B$3:$B$58,0)))</x:f>
        <x:v>4</x:v>
      </x:c>
      <x:c r="K51" s="59" t="n">
        <x:f aca="0">Daily!AK13</x:f>
        <x:v>0</x:v>
      </x:c>
      <x:c r="L51" s="60" t="n">
        <x:f aca="0">IF(COUNTIF(Library!$B$3:$B$58,C51)&lt;&gt;1,"",IF(COUNTIFS(Library!$B$3:$B$58,C51,Library!$E$3:$E$58,"&lt;&gt;")=0,0,INDEX(Library!$E$3:$E$58,MATCH(C51,Library!$B$3:$B$58,0))))</x:f>
        <x:v>0.04</x:v>
      </x:c>
      <x:c r="M51" s="58" t="n">
        <x:f aca="0">IF(COUNT(J51:L51)&lt;&gt;3,"",MIN(10,J51*(1+K51*L51)))</x:f>
        <x:v>4</x:v>
      </x:c>
      <x:c r="N51" s="58">
        <x:f>E51</x:f>
        <x:v>4</x:v>
      </x:c>
      <x:c r="O51" s="58">
        <x:f>IF(COUNT(M51:N51)&lt;&gt;2,"",M51*N51)</x:f>
        <x:v>16</x:v>
      </x:c>
      <x:c r="P51" s="58"/>
      <x:c r="Q51" s="58"/>
      <x:c r="R51" s="15"/>
      <x:c r="S51" s="15"/>
    </x:row>
    <x:row r="52" ht="24" hidden="0" customHeight="1">
      <x:c r="A52" s="79" t="n">
        <x:f aca="0">Daily!A14</x:f>
        <x:v>46346.5</x:v>
      </x:c>
      <x:c r="B52" s="16" t="str">
        <x:f aca="0">Daily!D14</x:f>
        <x:v>Muscle-up movement + Cal-Intervals</x:v>
      </x:c>
      <x:c r="C52" s="15" t="str">
        <x:v>Low-bar transition</x:v>
      </x:c>
      <x:c r="D52" s="15" t="str">
        <x:v>reps</x:v>
      </x:c>
      <x:c r="E52" s="15" t="n">
        <x:v>4</x:v>
      </x:c>
      <x:c r="F52" s="15" t="n">
        <x:v>3</x:v>
      </x:c>
      <x:c r="G52" s="15" t="n">
        <x:f aca="0">E52*F52</x:f>
        <x:v>12</x:v>
      </x:c>
      <x:c r="H52" s="15" t="str">
        <x:f aca="0">IF(AND(Daily!G14=TRUE,COUNT(Daily!H14,Daily!I14,Daily!J14,Daily!K14)&gt;0),SUM(Daily!H14,Daily!I14,Daily!J14,Daily!K14),"")</x:f>
      </x:c>
      <x:c r="I52" s="58" t="str">
        <x:f aca="0">IF(AND(ISNUMBER(H52),G52&gt;0),100*H52/G52,"")</x:f>
      </x:c>
      <x:c r="J52" s="58" t="n">
        <x:f aca="0">IF(COUNTIF(Library!$B$3:$B$58,C52)&lt;&gt;1,"",INDEX(Library!$D$3:$D$58,MATCH(C52,Library!$B$3:$B$58,0)))</x:f>
        <x:v>4</x:v>
      </x:c>
      <x:c r="K52" s="59" t="n">
        <x:f aca="0">Daily!M14</x:f>
        <x:v>0</x:v>
      </x:c>
      <x:c r="L52" s="60" t="n">
        <x:f aca="0">IF(COUNTIF(Library!$B$3:$B$58,C52)&lt;&gt;1,"",IF(COUNTIFS(Library!$B$3:$B$58,C52,Library!$E$3:$E$58,"&lt;&gt;")=0,0,INDEX(Library!$E$3:$E$58,MATCH(C52,Library!$B$3:$B$58,0))))</x:f>
        <x:v>0</x:v>
      </x:c>
      <x:c r="M52" s="58" t="n">
        <x:f aca="0">IF(COUNT(J52:L52)&lt;&gt;3,"",MIN(10,J52*(1+K52*L52)))</x:f>
        <x:v>4</x:v>
      </x:c>
      <x:c r="N52" s="58">
        <x:f>E52</x:f>
        <x:v>4</x:v>
      </x:c>
      <x:c r="O52" s="58">
        <x:f>IF(COUNT(M52:N52)&lt;&gt;2,"",M52*N52)</x:f>
        <x:v>16</x:v>
      </x:c>
      <x:c r="P52" s="58">
        <x:f>IF(COUNT(O52:O56)&lt;&gt;COUNT(N52:N56),"",ROUND(SUM(O52:O56)/SUM(N52:N56),1))</x:f>
        <x:v>4.4</x:v>
      </x:c>
      <x:c r="Q52" s="58" t="str">
        <x:f>IF(COUNT(I52:I56)=0,"",MEDIAN(I52:I56))</x:f>
      </x:c>
      <x:c r="R52" s="15" t="n">
        <x:f>COUNT(I52:I56)</x:f>
        <x:v>0</x:v>
      </x:c>
      <x:c r="S52" s="15" t="n">
        <x:v>5</x:v>
      </x:c>
    </x:row>
    <x:row r="53" ht="24" hidden="0" customHeight="1">
      <x:c r="A53" s="79" t="n">
        <x:f aca="0">Daily!A14</x:f>
        <x:v>46346.5</x:v>
      </x:c>
      <x:c r="B53" s="16" t="str">
        <x:f aca="0">Daily!D14</x:f>
        <x:v>Muscle-up movement + Cal-Intervals</x:v>
      </x:c>
      <x:c r="C53" s="15" t="str">
        <x:v>Handstand walk</x:v>
      </x:c>
      <x:c r="D53" s="15" t="str">
        <x:v>m</x:v>
      </x:c>
      <x:c r="E53" s="15" t="n">
        <x:v>4</x:v>
      </x:c>
      <x:c r="F53" s="15" t="n">
        <x:v>3</x:v>
      </x:c>
      <x:c r="G53" s="15" t="n">
        <x:f>E53*F53</x:f>
        <x:v>12</x:v>
      </x:c>
      <x:c r="H53" s="15" t="str">
        <x:f aca="0">IF(AND(Daily!G14=TRUE,COUNT(Daily!N14,Daily!O14,Daily!P14,Daily!Q14)&gt;0),SUM(Daily!N14,Daily!O14,Daily!P14,Daily!Q14),"")</x:f>
      </x:c>
      <x:c r="I53" s="58" t="str">
        <x:f aca="0">IF(AND(ISNUMBER(H53),G53&gt;0),100*H53/G53,"")</x:f>
      </x:c>
      <x:c r="J53" s="58" t="n">
        <x:f aca="0">IF(COUNTIF(Library!$B$3:$B$58,C53)&lt;&gt;1,"",INDEX(Library!$D$3:$D$58,MATCH(C53,Library!$B$3:$B$58,0)))</x:f>
        <x:v>3</x:v>
      </x:c>
      <x:c r="K53" s="59" t="n">
        <x:f>Daily!S14</x:f>
        <x:v>0</x:v>
      </x:c>
      <x:c r="L53" s="60" t="n">
        <x:f>IF(COUNTIF(Library!$B$3:$B$58,C53)&lt;&gt;1,"",IF(COUNTIFS(Library!$B$3:$B$58,C53,Library!$E$3:$E$58,"&lt;&gt;")=0,0,INDEX(Library!$E$3:$E$58,MATCH(C53,Library!$B$3:$B$58,0))))</x:f>
        <x:v>0</x:v>
      </x:c>
      <x:c r="M53" s="58" t="n">
        <x:f aca="0">IF(COUNT(J53:L53)&lt;&gt;3,"",MIN(10,J53*(1+K53*L53)))</x:f>
        <x:v>3</x:v>
      </x:c>
      <x:c r="N53" s="58">
        <x:f>E53</x:f>
        <x:v>4</x:v>
      </x:c>
      <x:c r="O53" s="58">
        <x:f>IF(COUNT(M53:N53)&lt;&gt;2,"",M53*N53)</x:f>
        <x:v>12</x:v>
      </x:c>
      <x:c r="P53" s="58"/>
      <x:c r="Q53" s="58"/>
      <x:c r="R53" s="15"/>
      <x:c r="S53" s="15"/>
    </x:row>
    <x:row r="54" ht="24" hidden="0" customHeight="1">
      <x:c r="A54" s="79" t="n">
        <x:f aca="0">Daily!A14</x:f>
        <x:v>46346.5</x:v>
      </x:c>
      <x:c r="B54" s="16" t="str">
        <x:f aca="0">Daily!D14</x:f>
        <x:v>Muscle-up movement + Cal-Intervals</x:v>
      </x:c>
      <x:c r="C54" s="15" t="str">
        <x:v>Straight-bar dip</x:v>
      </x:c>
      <x:c r="D54" s="15" t="str">
        <x:v>reps</x:v>
      </x:c>
      <x:c r="E54" s="15" t="n">
        <x:v>4</x:v>
      </x:c>
      <x:c r="F54" s="15" t="n">
        <x:v>8</x:v>
      </x:c>
      <x:c r="G54" s="15" t="n">
        <x:f aca="0">E54*F54</x:f>
        <x:v>32</x:v>
      </x:c>
      <x:c r="H54" s="15" t="str">
        <x:f aca="0">IF(AND(Daily!G14=TRUE,COUNT(Daily!T14,Daily!U14,Daily!V14,Daily!W14)&gt;0),SUM(Daily!T14,Daily!U14,Daily!V14,Daily!W14),"")</x:f>
      </x:c>
      <x:c r="I54" s="58" t="str">
        <x:f aca="0">IF(AND(ISNUMBER(H54),G54&gt;0),100*H54/G54,"")</x:f>
      </x:c>
      <x:c r="J54" s="58" t="n">
        <x:f aca="0">IF(COUNTIF(Library!$B$3:$B$58,C54)&lt;&gt;1,"",INDEX(Library!$D$3:$D$58,MATCH(C54,Library!$B$3:$B$58,0)))</x:f>
        <x:v>4</x:v>
      </x:c>
      <x:c r="K54" s="59" t="n">
        <x:f aca="0">Daily!Y14</x:f>
        <x:v>0</x:v>
      </x:c>
      <x:c r="L54" s="60" t="n">
        <x:f aca="0">IF(COUNTIF(Library!$B$3:$B$58,C54)&lt;&gt;1,"",IF(COUNTIFS(Library!$B$3:$B$58,C54,Library!$E$3:$E$58,"&lt;&gt;")=0,0,INDEX(Library!$E$3:$E$58,MATCH(C54,Library!$B$3:$B$58,0))))</x:f>
        <x:v>0.02</x:v>
      </x:c>
      <x:c r="M54" s="58" t="n">
        <x:f aca="0">IF(COUNT(J54:L54)&lt;&gt;3,"",MIN(10,J54*(1+K54*L54)))</x:f>
        <x:v>4</x:v>
      </x:c>
      <x:c r="N54" s="58">
        <x:f>E54</x:f>
        <x:v>4</x:v>
      </x:c>
      <x:c r="O54" s="58">
        <x:f>IF(COUNT(M54:N54)&lt;&gt;2,"",M54*N54)</x:f>
        <x:v>16</x:v>
      </x:c>
      <x:c r="P54" s="58"/>
      <x:c r="Q54" s="58"/>
      <x:c r="R54" s="15"/>
      <x:c r="S54" s="15"/>
    </x:row>
    <x:row r="55" ht="24" hidden="0" customHeight="1">
      <x:c r="A55" s="79" t="n">
        <x:f aca="0">Daily!A14</x:f>
        <x:v>46346.5</x:v>
      </x:c>
      <x:c r="B55" s="16" t="str">
        <x:f aca="0">Daily!D14</x:f>
        <x:v>Muscle-up movement + Cal-Intervals</x:v>
      </x:c>
      <x:c r="C55" s="15" t="str">
        <x:v>Elevated pike push-up</x:v>
      </x:c>
      <x:c r="D55" s="15" t="str">
        <x:v>reps</x:v>
      </x:c>
      <x:c r="E55" s="15" t="n">
        <x:v>4</x:v>
      </x:c>
      <x:c r="F55" s="15" t="n">
        <x:v>8</x:v>
      </x:c>
      <x:c r="G55" s="15" t="n">
        <x:f aca="0">E55*F55</x:f>
        <x:v>32</x:v>
      </x:c>
      <x:c r="H55" s="15" t="str">
        <x:f aca="0">IF(AND(Daily!G14=TRUE,COUNT(Daily!Z14,Daily!AA14,Daily!AB14,Daily!AC14)&gt;0),SUM(Daily!Z14,Daily!AA14,Daily!AB14,Daily!AC14),"")</x:f>
      </x:c>
      <x:c r="I55" s="58" t="str">
        <x:f aca="0">IF(AND(ISNUMBER(H55),G55&gt;0),100*H55/G55,"")</x:f>
      </x:c>
      <x:c r="J55" s="58" t="n">
        <x:f aca="0">IF(COUNTIF(Library!$B$3:$B$58,C55)&lt;&gt;1,"",INDEX(Library!$D$3:$D$58,MATCH(C55,Library!$B$3:$B$58,0)))</x:f>
        <x:v>4</x:v>
      </x:c>
      <x:c r="K55" s="59" t="n">
        <x:f aca="0">Daily!AE14</x:f>
        <x:v>0</x:v>
      </x:c>
      <x:c r="L55" s="60" t="n">
        <x:f aca="0">IF(COUNTIF(Library!$B$3:$B$58,C55)&lt;&gt;1,"",IF(COUNTIFS(Library!$B$3:$B$58,C55,Library!$E$3:$E$58,"&lt;&gt;")=0,0,INDEX(Library!$E$3:$E$58,MATCH(C55,Library!$B$3:$B$58,0))))</x:f>
        <x:v>0</x:v>
      </x:c>
      <x:c r="M55" s="58" t="n">
        <x:f aca="0">IF(COUNT(J55:L55)&lt;&gt;3,"",MIN(10,J55*(1+K55*L55)))</x:f>
        <x:v>4</x:v>
      </x:c>
      <x:c r="N55" s="58">
        <x:f>E55</x:f>
        <x:v>4</x:v>
      </x:c>
      <x:c r="O55" s="58">
        <x:f>IF(COUNT(M55:N55)&lt;&gt;2,"",M55*N55)</x:f>
        <x:v>16</x:v>
      </x:c>
      <x:c r="P55" s="58"/>
      <x:c r="Q55" s="58"/>
      <x:c r="R55" s="15"/>
      <x:c r="S55" s="15"/>
    </x:row>
    <x:row r="56" ht="24" hidden="0" customHeight="1">
      <x:c r="A56" s="79" t="n">
        <x:f aca="0">Daily!A14</x:f>
        <x:v>46346.5</x:v>
      </x:c>
      <x:c r="B56" s="16" t="str">
        <x:f aca="0">Daily!D14</x:f>
        <x:v>Muscle-up movement + Cal-Intervals</x:v>
      </x:c>
      <x:c r="C56" s="15" t="str">
        <x:v>Cal-Intervals</x:v>
      </x:c>
      <x:c r="D56" s="15" t="str">
        <x:v>rounds</x:v>
      </x:c>
      <x:c r="E56" s="15" t="n">
        <x:v>1</x:v>
      </x:c>
      <x:c r="F56" s="15" t="n">
        <x:v>5</x:v>
      </x:c>
      <x:c r="G56" s="15" t="n">
        <x:v>5</x:v>
      </x:c>
      <x:c r="H56" s="15" t="str">
        <x:f aca="0">IF(AND(Daily!G14=TRUE,ISNUMBER(Daily!AL14),Daily!AL14&gt;0),Daily!AL14,"")</x:f>
      </x:c>
      <x:c r="I56" s="58" t="str">
        <x:f aca="0">IF(ISNUMBER(H56),100*H56/G56,"")</x:f>
      </x:c>
      <x:c r="J56" s="58" t="n">
        <x:f aca="0">SUM(Library!F67:F70)/SUM(Library!E67:E70)</x:f>
        <x:v>5</x:v>
      </x:c>
      <x:c r="K56" s="59"/>
      <x:c r="L56" s="60"/>
      <x:c r="M56" s="58" t="n">
        <x:f aca="0">J56</x:f>
        <x:v>5</x:v>
      </x:c>
      <x:c r="N56" s="58">
        <x:f>G56*COUNT(Library!B67:B70)</x:f>
        <x:v>20</x:v>
      </x:c>
      <x:c r="O56" s="58">
        <x:f>IF(COUNT(M56:N56)&lt;&gt;2,"",M56*N56)</x:f>
        <x:v>100</x:v>
      </x:c>
      <x:c r="P56" s="58"/>
      <x:c r="Q56" s="58"/>
      <x:c r="R56" s="15"/>
      <x:c r="S56" s="15"/>
    </x:row>
    <x:row r="57" ht="24" hidden="0" customHeight="1">
      <x:c r="A57" s="79" t="n">
        <x:f aca="0">Daily!A15</x:f>
        <x:v>46349.5</x:v>
      </x:c>
      <x:c r="B57" s="16" t="str">
        <x:f aca="0">Daily!D15</x:f>
        <x:v>Pull and muscle-up strength</x:v>
      </x:c>
      <x:c r="C57" s="15" t="str">
        <x:v>High pull</x:v>
      </x:c>
      <x:c r="D57" s="15" t="str">
        <x:v>reps</x:v>
      </x:c>
      <x:c r="E57" s="15" t="n">
        <x:v>2</x:v>
      </x:c>
      <x:c r="F57" s="15" t="n">
        <x:v>3</x:v>
      </x:c>
      <x:c r="G57" s="15" t="n">
        <x:f aca="0">E57*F57</x:f>
        <x:v>6</x:v>
      </x:c>
      <x:c r="H57" s="15" t="str">
        <x:f aca="0">IF(AND(Daily!G15=TRUE,COUNT(Daily!H15,Daily!I15)&gt;0),SUM(Daily!H15,Daily!I15),"")</x:f>
      </x:c>
      <x:c r="I57" s="58" t="str">
        <x:f aca="0">IF(AND(ISNUMBER(H57),G57&gt;0),100*H57/G57,"")</x:f>
      </x:c>
      <x:c r="J57" s="58" t="n">
        <x:f aca="0">IF(COUNTIF(Library!$B$3:$B$58,C57)&lt;&gt;1,"",INDEX(Library!$D$3:$D$58,MATCH(C57,Library!$B$3:$B$58,0)))</x:f>
        <x:v>4</x:v>
      </x:c>
      <x:c r="K57" s="59" t="n">
        <x:f aca="0">Daily!M15</x:f>
        <x:v>0</x:v>
      </x:c>
      <x:c r="L57" s="60" t="n">
        <x:f aca="0">IF(COUNTIF(Library!$B$3:$B$58,C57)&lt;&gt;1,"",IF(COUNTIFS(Library!$B$3:$B$58,C57,Library!$E$3:$E$58,"&lt;&gt;")=0,0,INDEX(Library!$E$3:$E$58,MATCH(C57,Library!$B$3:$B$58,0))))</x:f>
        <x:v>0.04</x:v>
      </x:c>
      <x:c r="M57" s="58" t="n">
        <x:f aca="0">IF(COUNT(J57:L57)&lt;&gt;3,"",MIN(10,J57*(1+K57*L57)))</x:f>
        <x:v>4</x:v>
      </x:c>
      <x:c r="N57" s="58">
        <x:f>E57</x:f>
        <x:v>2</x:v>
      </x:c>
      <x:c r="O57" s="58">
        <x:f>IF(COUNT(M57:N57)&lt;&gt;2,"",M57*N57)</x:f>
        <x:v>8</x:v>
      </x:c>
      <x:c r="P57" s="58">
        <x:f>IF(COUNT(O57:O61)&lt;&gt;COUNT(N57:N61),"",ROUND(SUM(O57:O61)/SUM(N57:N61),1))</x:f>
        <x:v>4</x:v>
      </x:c>
      <x:c r="Q57" s="58" t="str">
        <x:f>IF(COUNT(I57:I61)=0,"",MEDIAN(I57:I61))</x:f>
      </x:c>
      <x:c r="R57" s="15" t="n">
        <x:f>COUNT(I57:I61)</x:f>
        <x:v>0</x:v>
      </x:c>
      <x:c r="S57" s="15" t="n">
        <x:v>5</x:v>
      </x:c>
    </x:row>
    <x:row r="58" ht="24" hidden="0" customHeight="1">
      <x:c r="A58" s="79" t="n">
        <x:f aca="0">Daily!A15</x:f>
        <x:v>46349.5</x:v>
      </x:c>
      <x:c r="B58" s="16" t="str">
        <x:f aca="0">Daily!D15</x:f>
        <x:v>Pull and muscle-up strength</x:v>
      </x:c>
      <x:c r="C58" s="15" t="str">
        <x:v>Pull-up</x:v>
      </x:c>
      <x:c r="D58" s="15" t="str">
        <x:v>reps</x:v>
      </x:c>
      <x:c r="E58" s="15" t="n">
        <x:v>2</x:v>
      </x:c>
      <x:c r="F58" s="15" t="n">
        <x:v>6</x:v>
      </x:c>
      <x:c r="G58" s="15" t="n">
        <x:f aca="0">E58*F58</x:f>
        <x:v>12</x:v>
      </x:c>
      <x:c r="H58" s="15" t="str">
        <x:f aca="0">IF(AND(Daily!G15=TRUE,COUNT(Daily!N15,Daily!O15)&gt;0),SUM(Daily!N15,Daily!O15),"")</x:f>
      </x:c>
      <x:c r="I58" s="58" t="str">
        <x:f aca="0">IF(AND(ISNUMBER(H58),G58&gt;0),100*H58/G58,"")</x:f>
      </x:c>
      <x:c r="J58" s="58" t="n">
        <x:f aca="0">IF(COUNTIF(Library!$B$3:$B$58,C58)&lt;&gt;1,"",INDEX(Library!$D$3:$D$58,MATCH(C58,Library!$B$3:$B$58,0)))</x:f>
        <x:v>6</x:v>
      </x:c>
      <x:c r="K58" s="59" t="n">
        <x:f aca="0">Daily!S15</x:f>
        <x:v>0</x:v>
      </x:c>
      <x:c r="L58" s="60" t="n">
        <x:f aca="0">IF(COUNTIF(Library!$B$3:$B$58,C58)&lt;&gt;1,"",IF(COUNTIFS(Library!$B$3:$B$58,C58,Library!$E$3:$E$58,"&lt;&gt;")=0,0,INDEX(Library!$E$3:$E$58,MATCH(C58,Library!$B$3:$B$58,0))))</x:f>
        <x:v>0.04</x:v>
      </x:c>
      <x:c r="M58" s="58" t="n">
        <x:f aca="0">IF(COUNT(J58:L58)&lt;&gt;3,"",MIN(10,J58*(1+K58*L58)))</x:f>
        <x:v>6</x:v>
      </x:c>
      <x:c r="N58" s="58">
        <x:f>E58</x:f>
        <x:v>2</x:v>
      </x:c>
      <x:c r="O58" s="58">
        <x:f>IF(COUNT(M58:N58)&lt;&gt;2,"",M58*N58)</x:f>
        <x:v>12</x:v>
      </x:c>
      <x:c r="P58" s="58"/>
      <x:c r="Q58" s="58"/>
      <x:c r="R58" s="15"/>
      <x:c r="S58" s="15"/>
    </x:row>
    <x:row r="59" ht="24" hidden="0" customHeight="1">
      <x:c r="A59" s="79" t="n">
        <x:f aca="0">Daily!A15</x:f>
        <x:v>46349.5</x:v>
      </x:c>
      <x:c r="B59" s="16" t="str">
        <x:f aca="0">Daily!D15</x:f>
        <x:v>Pull and muscle-up strength</x:v>
      </x:c>
      <x:c r="C59" s="15" t="str">
        <x:v>Parallel-bar dip</x:v>
      </x:c>
      <x:c r="D59" s="15" t="str">
        <x:v>reps</x:v>
      </x:c>
      <x:c r="E59" s="15" t="n">
        <x:v>2</x:v>
      </x:c>
      <x:c r="F59" s="15" t="n">
        <x:v>12</x:v>
      </x:c>
      <x:c r="G59" s="15" t="n">
        <x:f aca="0">E59*F59</x:f>
        <x:v>24</x:v>
      </x:c>
      <x:c r="H59" s="15" t="str">
        <x:f aca="0">IF(AND(Daily!G15=TRUE,COUNT(Daily!T15,Daily!U15)&gt;0),SUM(Daily!T15,Daily!U15),"")</x:f>
      </x:c>
      <x:c r="I59" s="58" t="str">
        <x:f aca="0">IF(AND(ISNUMBER(H59),G59&gt;0),100*H59/G59,"")</x:f>
      </x:c>
      <x:c r="J59" s="58" t="n">
        <x:f aca="0">IF(COUNTIF(Library!$B$3:$B$58,C59)&lt;&gt;1,"",INDEX(Library!$D$3:$D$58,MATCH(C59,Library!$B$3:$B$58,0)))</x:f>
        <x:v>4</x:v>
      </x:c>
      <x:c r="K59" s="59" t="n">
        <x:f aca="0">Daily!Y15</x:f>
        <x:v>0</x:v>
      </x:c>
      <x:c r="L59" s="60" t="n">
        <x:f aca="0">IF(COUNTIF(Library!$B$3:$B$58,C59)&lt;&gt;1,"",IF(COUNTIFS(Library!$B$3:$B$58,C59,Library!$E$3:$E$58,"&lt;&gt;")=0,0,INDEX(Library!$E$3:$E$58,MATCH(C59,Library!$B$3:$B$58,0))))</x:f>
        <x:v>0.02</x:v>
      </x:c>
      <x:c r="M59" s="58" t="n">
        <x:f aca="0">IF(COUNT(J59:L59)&lt;&gt;3,"",MIN(10,J59*(1+K59*L59)))</x:f>
        <x:v>4</x:v>
      </x:c>
      <x:c r="N59" s="58">
        <x:f>E59</x:f>
        <x:v>2</x:v>
      </x:c>
      <x:c r="O59" s="58">
        <x:f>IF(COUNT(M59:N59)&lt;&gt;2,"",M59*N59)</x:f>
        <x:v>8</x:v>
      </x:c>
      <x:c r="P59" s="58"/>
      <x:c r="Q59" s="58"/>
      <x:c r="R59" s="15"/>
      <x:c r="S59" s="15"/>
    </x:row>
    <x:row r="60" ht="24" hidden="0" customHeight="1">
      <x:c r="A60" s="79" t="n">
        <x:f aca="0">Daily!A15</x:f>
        <x:v>46349.5</x:v>
      </x:c>
      <x:c r="B60" s="16" t="str">
        <x:f aca="0">Daily!D15</x:f>
        <x:v>Pull and muscle-up strength</x:v>
      </x:c>
      <x:c r="C60" s="15" t="str">
        <x:v>Box pistol</x:v>
      </x:c>
      <x:c r="D60" s="15" t="str">
        <x:v>reps/leg</x:v>
      </x:c>
      <x:c r="E60" s="15" t="n">
        <x:v>2</x:v>
      </x:c>
      <x:c r="F60" s="15" t="n">
        <x:v>5</x:v>
      </x:c>
      <x:c r="G60" s="15" t="n">
        <x:f aca="0">E60*F60</x:f>
        <x:v>10</x:v>
      </x:c>
      <x:c r="H60" s="15" t="str">
        <x:f aca="0">IF(AND(Daily!G15=TRUE,COUNT(Daily!Z15,Daily!AA15)&gt;0),SUM(Daily!Z15,Daily!AA15),"")</x:f>
      </x:c>
      <x:c r="I60" s="58" t="str">
        <x:f aca="0">IF(AND(ISNUMBER(H60),G60&gt;0),100*H60/G60,"")</x:f>
      </x:c>
      <x:c r="J60" s="58" t="n">
        <x:f aca="0">IF(COUNTIF(Library!$B$3:$B$58,C60)&lt;&gt;1,"",INDEX(Library!$D$3:$D$58,MATCH(C60,Library!$B$3:$B$58,0)))</x:f>
        <x:v>2</x:v>
      </x:c>
      <x:c r="K60" s="59" t="n">
        <x:f aca="0">Daily!AE15</x:f>
        <x:v>0</x:v>
      </x:c>
      <x:c r="L60" s="60" t="n">
        <x:f aca="0">IF(COUNTIF(Library!$B$3:$B$58,C60)&lt;&gt;1,"",IF(COUNTIFS(Library!$B$3:$B$58,C60,Library!$E$3:$E$58,"&lt;&gt;")=0,0,INDEX(Library!$E$3:$E$58,MATCH(C60,Library!$B$3:$B$58,0))))</x:f>
        <x:v>0.03</x:v>
      </x:c>
      <x:c r="M60" s="58" t="n">
        <x:f aca="0">IF(COUNT(J60:L60)&lt;&gt;3,"",MIN(10,J60*(1+K60*L60)))</x:f>
        <x:v>2</x:v>
      </x:c>
      <x:c r="N60" s="58">
        <x:f>E60</x:f>
        <x:v>2</x:v>
      </x:c>
      <x:c r="O60" s="58">
        <x:f>IF(COUNT(M60:N60)&lt;&gt;2,"",M60*N60)</x:f>
        <x:v>4</x:v>
      </x:c>
      <x:c r="P60" s="58"/>
      <x:c r="Q60" s="58"/>
      <x:c r="R60" s="15"/>
      <x:c r="S60" s="15"/>
    </x:row>
    <x:row r="61" ht="24" hidden="0" customHeight="1">
      <x:c r="A61" s="79" t="n">
        <x:f aca="0">Daily!A15</x:f>
        <x:v>46349.5</x:v>
      </x:c>
      <x:c r="B61" s="16" t="str">
        <x:f aca="0">Daily!D15</x:f>
        <x:v>Pull and muscle-up strength</x:v>
      </x:c>
      <x:c r="C61" s="15" t="str">
        <x:v>Sliding hamstring curl</x:v>
      </x:c>
      <x:c r="D61" s="15" t="str">
        <x:v>reps</x:v>
      </x:c>
      <x:c r="E61" s="15" t="n">
        <x:v>2</x:v>
      </x:c>
      <x:c r="F61" s="15" t="n">
        <x:v>10</x:v>
      </x:c>
      <x:c r="G61" s="15" t="n">
        <x:f aca="0">E61*F61</x:f>
        <x:v>20</x:v>
      </x:c>
      <x:c r="H61" s="15" t="str">
        <x:f aca="0">IF(AND(Daily!G15=TRUE,COUNT(Daily!AF15,Daily!AG15)&gt;0),SUM(Daily!AF15,Daily!AG15),"")</x:f>
      </x:c>
      <x:c r="I61" s="58" t="str">
        <x:f aca="0">IF(AND(ISNUMBER(H61),G61&gt;0),100*H61/G61,"")</x:f>
      </x:c>
      <x:c r="J61" s="58" t="n">
        <x:f aca="0">IF(COUNTIF(Library!$B$3:$B$58,C61)&lt;&gt;1,"",INDEX(Library!$D$3:$D$58,MATCH(C61,Library!$B$3:$B$58,0)))</x:f>
        <x:v>4</x:v>
      </x:c>
      <x:c r="K61" s="59" t="n">
        <x:f aca="0">Daily!AK15</x:f>
        <x:v>0</x:v>
      </x:c>
      <x:c r="L61" s="60" t="n">
        <x:f aca="0">IF(COUNTIF(Library!$B$3:$B$58,C61)&lt;&gt;1,"",IF(COUNTIFS(Library!$B$3:$B$58,C61,Library!$E$3:$E$58,"&lt;&gt;")=0,0,INDEX(Library!$E$3:$E$58,MATCH(C61,Library!$B$3:$B$58,0))))</x:f>
        <x:v>0</x:v>
      </x:c>
      <x:c r="M61" s="58" t="n">
        <x:f aca="0">IF(COUNT(J61:L61)&lt;&gt;3,"",MIN(10,J61*(1+K61*L61)))</x:f>
        <x:v>4</x:v>
      </x:c>
      <x:c r="N61" s="58">
        <x:f>E61</x:f>
        <x:v>2</x:v>
      </x:c>
      <x:c r="O61" s="58">
        <x:f>IF(COUNT(M61:N61)&lt;&gt;2,"",M61*N61)</x:f>
        <x:v>8</x:v>
      </x:c>
      <x:c r="P61" s="58"/>
      <x:c r="Q61" s="58"/>
      <x:c r="R61" s="15"/>
      <x:c r="S61" s="15"/>
    </x:row>
    <x:row r="62" ht="24" hidden="0" customHeight="1">
      <x:c r="A62" s="79" t="n">
        <x:f aca="0">Daily!A16</x:f>
        <x:v>46350.5</x:v>
      </x:c>
      <x:c r="B62" s="16" t="str">
        <x:f aca="0">Daily!D16</x:f>
        <x:v>Optional movement practice</x:v>
      </x:c>
      <x:c r="C62" s="15" t="str">
        <x:v>Wrist/shoulder mobility</x:v>
      </x:c>
      <x:c r="D62" s="15" t="str">
        <x:v>seconds</x:v>
      </x:c>
      <x:c r="E62" s="15" t="n">
        <x:v>1</x:v>
      </x:c>
      <x:c r="F62" s="15" t="n">
        <x:v>120</x:v>
      </x:c>
      <x:c r="G62" s="15" t="n">
        <x:f aca="0">E62*F62</x:f>
        <x:v>120</x:v>
      </x:c>
      <x:c r="H62" s="15" t="str">
        <x:f aca="0">IF(AND(Daily!G16=TRUE,COUNT(Daily!H16)&gt;0),SUM(Daily!H16)*86400,"")</x:f>
      </x:c>
      <x:c r="I62" s="58" t="str">
        <x:f aca="0">IF(AND(ISNUMBER(H62),G62&gt;0),100*H62/G62,"")</x:f>
      </x:c>
      <x:c r="J62" s="58" t="n">
        <x:f aca="0">IF(COUNTIF(Library!$B$3:$B$58,C62)&lt;&gt;1,"",INDEX(Library!$D$3:$D$58,MATCH(C62,Library!$B$3:$B$58,0)))</x:f>
        <x:v>1</x:v>
      </x:c>
      <x:c r="K62" s="59" t="n">
        <x:f aca="0">Daily!M16</x:f>
        <x:v>0</x:v>
      </x:c>
      <x:c r="L62" s="60" t="n">
        <x:f aca="0">IF(COUNTIF(Library!$B$3:$B$58,C62)&lt;&gt;1,"",IF(COUNTIFS(Library!$B$3:$B$58,C62,Library!$E$3:$E$58,"&lt;&gt;")=0,0,INDEX(Library!$E$3:$E$58,MATCH(C62,Library!$B$3:$B$58,0))))</x:f>
        <x:v>0</x:v>
      </x:c>
      <x:c r="M62" s="58" t="n">
        <x:f aca="0">IF(COUNT(J62:L62)&lt;&gt;3,"",MIN(10,J62*(1+K62*L62)))</x:f>
        <x:v>1</x:v>
      </x:c>
      <x:c r="N62" s="58">
        <x:f>E62</x:f>
        <x:v>1</x:v>
      </x:c>
      <x:c r="O62" s="58">
        <x:f>IF(COUNT(M62:N62)&lt;&gt;2,"",M62*N62)</x:f>
        <x:v>1</x:v>
      </x:c>
      <x:c r="P62" s="58">
        <x:f>IF(COUNT(O62:O64)&lt;&gt;COUNT(N62:N64),"",ROUND(SUM(O62:O64)/SUM(N62:N64),1))</x:f>
        <x:v>1</x:v>
      </x:c>
      <x:c r="Q62" s="58" t="str">
        <x:f aca="0">IF(COUNT(I62:I64)=0,"",MEDIAN(I62:I64))</x:f>
      </x:c>
      <x:c r="R62" s="15" t="n">
        <x:f aca="0">COUNT(I62:I64)</x:f>
        <x:v>0</x:v>
      </x:c>
      <x:c r="S62" s="15" t="n">
        <x:v>3</x:v>
      </x:c>
    </x:row>
    <x:row r="63" ht="24" hidden="0" customHeight="1">
      <x:c r="A63" s="79" t="n">
        <x:f aca="0">Daily!A16</x:f>
        <x:v>46350.5</x:v>
      </x:c>
      <x:c r="B63" s="16" t="str">
        <x:f aca="0">Daily!D16</x:f>
        <x:v>Optional movement practice</x:v>
      </x:c>
      <x:c r="C63" s="15" t="str">
        <x:v>Easy handstand walk</x:v>
      </x:c>
      <x:c r="D63" s="15" t="str">
        <x:v>m</x:v>
      </x:c>
      <x:c r="E63" s="15" t="n">
        <x:v>3</x:v>
      </x:c>
      <x:c r="F63" s="15" t="n">
        <x:v>2</x:v>
      </x:c>
      <x:c r="G63" s="15" t="n">
        <x:f aca="0">E63*F63</x:f>
        <x:v>6</x:v>
      </x:c>
      <x:c r="H63" s="15" t="str">
        <x:f aca="0">IF(AND(Daily!G16=TRUE,COUNT(Daily!N16,Daily!O16,Daily!P16)&gt;0),SUM(Daily!N16,Daily!O16,Daily!P16),"")</x:f>
      </x:c>
      <x:c r="I63" s="58" t="str">
        <x:f aca="0">IF(AND(ISNUMBER(H63),G63&gt;0),100*H63/G63,"")</x:f>
      </x:c>
      <x:c r="J63" s="58" t="n">
        <x:f aca="0">IF(COUNTIF(Library!$B$3:$B$58,C63)&lt;&gt;1,"",INDEX(Library!$D$3:$D$58,MATCH(C63,Library!$B$3:$B$58,0)))</x:f>
        <x:v>1</x:v>
      </x:c>
      <x:c r="K63" s="59" t="n">
        <x:f aca="0">Daily!S16</x:f>
        <x:v>0</x:v>
      </x:c>
      <x:c r="L63" s="60" t="n">
        <x:f aca="0">IF(COUNTIF(Library!$B$3:$B$58,C63)&lt;&gt;1,"",IF(COUNTIFS(Library!$B$3:$B$58,C63,Library!$E$3:$E$58,"&lt;&gt;")=0,0,INDEX(Library!$E$3:$E$58,MATCH(C63,Library!$B$3:$B$58,0))))</x:f>
        <x:v>0</x:v>
      </x:c>
      <x:c r="M63" s="58" t="n">
        <x:f aca="0">IF(COUNT(J63:L63)&lt;&gt;3,"",MIN(10,J63*(1+K63*L63)))</x:f>
        <x:v>1</x:v>
      </x:c>
      <x:c r="N63" s="58">
        <x:f>E63</x:f>
        <x:v>3</x:v>
      </x:c>
      <x:c r="O63" s="58">
        <x:f>IF(COUNT(M63:N63)&lt;&gt;2,"",M63*N63)</x:f>
        <x:v>3</x:v>
      </x:c>
      <x:c r="P63" s="58"/>
      <x:c r="Q63" s="58"/>
      <x:c r="R63" s="15"/>
      <x:c r="S63" s="15"/>
    </x:row>
    <x:row r="64" ht="24" hidden="0" customHeight="1">
      <x:c r="A64" s="79" t="n">
        <x:f aca="0">Daily!A16</x:f>
        <x:v>46350.5</x:v>
      </x:c>
      <x:c r="B64" s="16" t="str">
        <x:f aca="0">Daily!D16</x:f>
        <x:v>Optional movement practice</x:v>
      </x:c>
      <x:c r="C64" s="15" t="str">
        <x:v>Easy bear crawl</x:v>
      </x:c>
      <x:c r="D64" s="15" t="str">
        <x:v>seconds</x:v>
      </x:c>
      <x:c r="E64" s="15" t="n">
        <x:v>3</x:v>
      </x:c>
      <x:c r="F64" s="15" t="n">
        <x:v>20</x:v>
      </x:c>
      <x:c r="G64" s="15" t="n">
        <x:f aca="0">E64*F64</x:f>
        <x:v>60</x:v>
      </x:c>
      <x:c r="H64" s="15" t="str">
        <x:f aca="0">IF(AND(Daily!G16=TRUE,COUNT(Daily!T16,Daily!U16,Daily!V16)&gt;0),SUM(Daily!T16,Daily!U16,Daily!V16)*86400,"")</x:f>
      </x:c>
      <x:c r="I64" s="58" t="str">
        <x:f aca="0">IF(AND(ISNUMBER(H64),G64&gt;0),100*H64/G64,"")</x:f>
      </x:c>
      <x:c r="J64" s="58" t="n">
        <x:f aca="0">IF(COUNTIF(Library!$B$3:$B$58,C64)&lt;&gt;1,"",INDEX(Library!$D$3:$D$58,MATCH(C64,Library!$B$3:$B$58,0)))</x:f>
        <x:v>1</x:v>
      </x:c>
      <x:c r="K64" s="59" t="n">
        <x:f aca="0">Daily!Y16</x:f>
        <x:v>0</x:v>
      </x:c>
      <x:c r="L64" s="60" t="n">
        <x:f aca="0">IF(COUNTIF(Library!$B$3:$B$58,C64)&lt;&gt;1,"",IF(COUNTIFS(Library!$B$3:$B$58,C64,Library!$E$3:$E$58,"&lt;&gt;")=0,0,INDEX(Library!$E$3:$E$58,MATCH(C64,Library!$B$3:$B$58,0))))</x:f>
        <x:v>0</x:v>
      </x:c>
      <x:c r="M64" s="58" t="n">
        <x:f aca="0">IF(COUNT(J64:L64)&lt;&gt;3,"",MIN(10,J64*(1+K64*L64)))</x:f>
        <x:v>1</x:v>
      </x:c>
      <x:c r="N64" s="58">
        <x:f>E64</x:f>
        <x:v>3</x:v>
      </x:c>
      <x:c r="O64" s="58">
        <x:f>IF(COUNT(M64:N64)&lt;&gt;2,"",M64*N64)</x:f>
        <x:v>3</x:v>
      </x:c>
      <x:c r="P64" s="58"/>
      <x:c r="Q64" s="58"/>
      <x:c r="R64" s="15"/>
      <x:c r="S64" s="15"/>
    </x:row>
    <x:row r="65" ht="24" hidden="0" customHeight="1">
      <x:c r="A65" s="79" t="n">
        <x:f aca="0">Daily!A17</x:f>
        <x:v>46351.5</x:v>
      </x:c>
      <x:c r="B65" s="16" t="str">
        <x:f aca="0">Daily!D17</x:f>
        <x:v>Handstand movement and strength</x:v>
      </x:c>
      <x:c r="C65" s="15" t="str">
        <x:v>Handstand walk</x:v>
      </x:c>
      <x:c r="D65" s="15" t="str">
        <x:v>m</x:v>
      </x:c>
      <x:c r="E65" s="15" t="n">
        <x:v>2</x:v>
      </x:c>
      <x:c r="F65" s="15" t="n">
        <x:v>3</x:v>
      </x:c>
      <x:c r="G65" s="15" t="n">
        <x:f aca="0">E65*F65</x:f>
        <x:v>6</x:v>
      </x:c>
      <x:c r="H65" s="15" t="str">
        <x:f aca="0">IF(AND(Daily!G17=TRUE,COUNT(Daily!H17,Daily!I17)&gt;0),SUM(Daily!H17,Daily!I17),"")</x:f>
      </x:c>
      <x:c r="I65" s="58" t="str">
        <x:f aca="0">IF(AND(ISNUMBER(H65),G65&gt;0),100*H65/G65,"")</x:f>
      </x:c>
      <x:c r="J65" s="58" t="n">
        <x:f aca="0">IF(COUNTIF(Library!$B$3:$B$58,C65)&lt;&gt;1,"",INDEX(Library!$D$3:$D$58,MATCH(C65,Library!$B$3:$B$58,0)))</x:f>
        <x:v>3</x:v>
      </x:c>
      <x:c r="K65" s="59" t="n">
        <x:f aca="0">Daily!M17</x:f>
        <x:v>0</x:v>
      </x:c>
      <x:c r="L65" s="60" t="n">
        <x:f aca="0">IF(COUNTIF(Library!$B$3:$B$58,C65)&lt;&gt;1,"",IF(COUNTIFS(Library!$B$3:$B$58,C65,Library!$E$3:$E$58,"&lt;&gt;")=0,0,INDEX(Library!$E$3:$E$58,MATCH(C65,Library!$B$3:$B$58,0))))</x:f>
        <x:v>0</x:v>
      </x:c>
      <x:c r="M65" s="58" t="n">
        <x:f aca="0">IF(COUNT(J65:L65)&lt;&gt;3,"",MIN(10,J65*(1+K65*L65)))</x:f>
        <x:v>3</x:v>
      </x:c>
      <x:c r="N65" s="58">
        <x:f>E65</x:f>
        <x:v>2</x:v>
      </x:c>
      <x:c r="O65" s="58">
        <x:f>IF(COUNT(M65:N65)&lt;&gt;2,"",M65*N65)</x:f>
        <x:v>6</x:v>
      </x:c>
      <x:c r="P65" s="58">
        <x:f>IF(COUNT(O65:O69)&lt;&gt;COUNT(N65:N69),"",ROUND(SUM(O65:O69)/SUM(N65:N69),1))</x:f>
        <x:v>3.8</x:v>
      </x:c>
      <x:c r="Q65" s="58" t="str">
        <x:f>IF(COUNT(I65:I69)=0,"",MEDIAN(I65:I69))</x:f>
      </x:c>
      <x:c r="R65" s="15" t="n">
        <x:f>COUNT(I65:I69)</x:f>
        <x:v>0</x:v>
      </x:c>
      <x:c r="S65" s="15" t="n">
        <x:v>5</x:v>
      </x:c>
    </x:row>
    <x:row r="66" ht="24" hidden="0" customHeight="1">
      <x:c r="A66" s="79" t="n">
        <x:f aca="0">Daily!A17</x:f>
        <x:v>46351.5</x:v>
      </x:c>
      <x:c r="B66" s="16" t="str">
        <x:f aca="0">Daily!D17</x:f>
        <x:v>Handstand movement and strength</x:v>
      </x:c>
      <x:c r="C66" s="15" t="str">
        <x:v>Elevated pike push-up</x:v>
      </x:c>
      <x:c r="D66" s="15" t="str">
        <x:v>reps</x:v>
      </x:c>
      <x:c r="E66" s="15" t="n">
        <x:v>2</x:v>
      </x:c>
      <x:c r="F66" s="15" t="n">
        <x:v>8</x:v>
      </x:c>
      <x:c r="G66" s="15" t="n">
        <x:f aca="0">E66*F66</x:f>
        <x:v>16</x:v>
      </x:c>
      <x:c r="H66" s="15" t="str">
        <x:f aca="0">IF(AND(Daily!G17=TRUE,COUNT(Daily!N17,Daily!O17)&gt;0),SUM(Daily!N17,Daily!O17),"")</x:f>
      </x:c>
      <x:c r="I66" s="58" t="str">
        <x:f aca="0">IF(AND(ISNUMBER(H66),G66&gt;0),100*H66/G66,"")</x:f>
      </x:c>
      <x:c r="J66" s="58" t="n">
        <x:f aca="0">IF(COUNTIF(Library!$B$3:$B$58,C66)&lt;&gt;1,"",INDEX(Library!$D$3:$D$58,MATCH(C66,Library!$B$3:$B$58,0)))</x:f>
        <x:v>4</x:v>
      </x:c>
      <x:c r="K66" s="59" t="n">
        <x:f aca="0">Daily!S17</x:f>
        <x:v>0</x:v>
      </x:c>
      <x:c r="L66" s="60" t="n">
        <x:f aca="0">IF(COUNTIF(Library!$B$3:$B$58,C66)&lt;&gt;1,"",IF(COUNTIFS(Library!$B$3:$B$58,C66,Library!$E$3:$E$58,"&lt;&gt;")=0,0,INDEX(Library!$E$3:$E$58,MATCH(C66,Library!$B$3:$B$58,0))))</x:f>
        <x:v>0</x:v>
      </x:c>
      <x:c r="M66" s="58" t="n">
        <x:f aca="0">IF(COUNT(J66:L66)&lt;&gt;3,"",MIN(10,J66*(1+K66*L66)))</x:f>
        <x:v>4</x:v>
      </x:c>
      <x:c r="N66" s="58">
        <x:f>E66</x:f>
        <x:v>2</x:v>
      </x:c>
      <x:c r="O66" s="58">
        <x:f>IF(COUNT(M66:N66)&lt;&gt;2,"",M66*N66)</x:f>
        <x:v>8</x:v>
      </x:c>
      <x:c r="P66" s="58"/>
      <x:c r="Q66" s="58"/>
      <x:c r="R66" s="15"/>
      <x:c r="S66" s="15"/>
    </x:row>
    <x:row r="67" ht="24" hidden="0" customHeight="1">
      <x:c r="A67" s="79" t="n">
        <x:f aca="0">Daily!A17</x:f>
        <x:v>46351.5</x:v>
      </x:c>
      <x:c r="B67" s="16" t="str">
        <x:f aca="0">Daily!D17</x:f>
        <x:v>Handstand movement and strength</x:v>
      </x:c>
      <x:c r="C67" s="15" t="str">
        <x:v>Pull-up</x:v>
      </x:c>
      <x:c r="D67" s="15" t="str">
        <x:v>reps</x:v>
      </x:c>
      <x:c r="E67" s="15" t="n">
        <x:v>2</x:v>
      </x:c>
      <x:c r="F67" s="15" t="n">
        <x:v>6</x:v>
      </x:c>
      <x:c r="G67" s="15" t="n">
        <x:f aca="0">E67*F67</x:f>
        <x:v>12</x:v>
      </x:c>
      <x:c r="H67" s="15" t="str">
        <x:f aca="0">IF(AND(Daily!G17=TRUE,COUNT(Daily!T17,Daily!U17)&gt;0),SUM(Daily!T17,Daily!U17),"")</x:f>
      </x:c>
      <x:c r="I67" s="58" t="str">
        <x:f aca="0">IF(AND(ISNUMBER(H67),G67&gt;0),100*H67/G67,"")</x:f>
      </x:c>
      <x:c r="J67" s="58" t="n">
        <x:f aca="0">IF(COUNTIF(Library!$B$3:$B$58,C67)&lt;&gt;1,"",INDEX(Library!$D$3:$D$58,MATCH(C67,Library!$B$3:$B$58,0)))</x:f>
        <x:v>6</x:v>
      </x:c>
      <x:c r="K67" s="59" t="n">
        <x:f aca="0">Daily!Y17</x:f>
        <x:v>0</x:v>
      </x:c>
      <x:c r="L67" s="60" t="n">
        <x:f aca="0">IF(COUNTIF(Library!$B$3:$B$58,C67)&lt;&gt;1,"",IF(COUNTIFS(Library!$B$3:$B$58,C67,Library!$E$3:$E$58,"&lt;&gt;")=0,0,INDEX(Library!$E$3:$E$58,MATCH(C67,Library!$B$3:$B$58,0))))</x:f>
        <x:v>0.04</x:v>
      </x:c>
      <x:c r="M67" s="58" t="n">
        <x:f aca="0">IF(COUNT(J67:L67)&lt;&gt;3,"",MIN(10,J67*(1+K67*L67)))</x:f>
        <x:v>6</x:v>
      </x:c>
      <x:c r="N67" s="58">
        <x:f>E67</x:f>
        <x:v>2</x:v>
      </x:c>
      <x:c r="O67" s="58">
        <x:f>IF(COUNT(M67:N67)&lt;&gt;2,"",M67*N67)</x:f>
        <x:v>12</x:v>
      </x:c>
      <x:c r="P67" s="58"/>
      <x:c r="Q67" s="58"/>
      <x:c r="R67" s="15"/>
      <x:c r="S67" s="15"/>
    </x:row>
    <x:row r="68" ht="24" hidden="0" customHeight="1">
      <x:c r="A68" s="79" t="n">
        <x:f aca="0">Daily!A17</x:f>
        <x:v>46351.5</x:v>
      </x:c>
      <x:c r="B68" s="16" t="str">
        <x:f aca="0">Daily!D17</x:f>
        <x:v>Handstand movement and strength</x:v>
      </x:c>
      <x:c r="C68" s="15" t="str">
        <x:v>Box pistol</x:v>
      </x:c>
      <x:c r="D68" s="15" t="str">
        <x:v>reps/leg</x:v>
      </x:c>
      <x:c r="E68" s="15" t="n">
        <x:v>2</x:v>
      </x:c>
      <x:c r="F68" s="15" t="n">
        <x:v>5</x:v>
      </x:c>
      <x:c r="G68" s="15" t="n">
        <x:f aca="0">E68*F68</x:f>
        <x:v>10</x:v>
      </x:c>
      <x:c r="H68" s="15" t="str">
        <x:f aca="0">IF(AND(Daily!G17=TRUE,COUNT(Daily!Z17,Daily!AA17)&gt;0),SUM(Daily!Z17,Daily!AA17),"")</x:f>
      </x:c>
      <x:c r="I68" s="58" t="str">
        <x:f aca="0">IF(AND(ISNUMBER(H68),G68&gt;0),100*H68/G68,"")</x:f>
      </x:c>
      <x:c r="J68" s="58" t="n">
        <x:f aca="0">IF(COUNTIF(Library!$B$3:$B$58,C68)&lt;&gt;1,"",INDEX(Library!$D$3:$D$58,MATCH(C68,Library!$B$3:$B$58,0)))</x:f>
        <x:v>2</x:v>
      </x:c>
      <x:c r="K68" s="59" t="n">
        <x:f aca="0">Daily!AE17</x:f>
        <x:v>0</x:v>
      </x:c>
      <x:c r="L68" s="60" t="n">
        <x:f aca="0">IF(COUNTIF(Library!$B$3:$B$58,C68)&lt;&gt;1,"",IF(COUNTIFS(Library!$B$3:$B$58,C68,Library!$E$3:$E$58,"&lt;&gt;")=0,0,INDEX(Library!$E$3:$E$58,MATCH(C68,Library!$B$3:$B$58,0))))</x:f>
        <x:v>0.03</x:v>
      </x:c>
      <x:c r="M68" s="58" t="n">
        <x:f aca="0">IF(COUNT(J68:L68)&lt;&gt;3,"",MIN(10,J68*(1+K68*L68)))</x:f>
        <x:v>2</x:v>
      </x:c>
      <x:c r="N68" s="58">
        <x:f>E68</x:f>
        <x:v>2</x:v>
      </x:c>
      <x:c r="O68" s="58">
        <x:f>IF(COUNT(M68:N68)&lt;&gt;2,"",M68*N68)</x:f>
        <x:v>4</x:v>
      </x:c>
      <x:c r="P68" s="58"/>
      <x:c r="Q68" s="58"/>
      <x:c r="R68" s="15"/>
      <x:c r="S68" s="15"/>
    </x:row>
    <x:row r="69" ht="24" hidden="0" customHeight="1">
      <x:c r="A69" s="79" t="n">
        <x:f aca="0">Daily!A17</x:f>
        <x:v>46351.5</x:v>
      </x:c>
      <x:c r="B69" s="16" t="str">
        <x:f aca="0">Daily!D17</x:f>
        <x:v>Handstand movement and strength</x:v>
      </x:c>
      <x:c r="C69" s="15" t="str">
        <x:v>Bar row</x:v>
      </x:c>
      <x:c r="D69" s="15" t="str">
        <x:v>reps</x:v>
      </x:c>
      <x:c r="E69" s="15" t="n">
        <x:v>2</x:v>
      </x:c>
      <x:c r="F69" s="15" t="n">
        <x:v>12</x:v>
      </x:c>
      <x:c r="G69" s="15" t="n">
        <x:f aca="0">E69*F69</x:f>
        <x:v>24</x:v>
      </x:c>
      <x:c r="H69" s="15" t="str">
        <x:f aca="0">IF(AND(Daily!G17=TRUE,COUNT(Daily!AF17,Daily!AG17)&gt;0),SUM(Daily!AF17,Daily!AG17),"")</x:f>
      </x:c>
      <x:c r="I69" s="58" t="str">
        <x:f aca="0">IF(AND(ISNUMBER(H69),G69&gt;0),100*H69/G69,"")</x:f>
      </x:c>
      <x:c r="J69" s="58" t="n">
        <x:f aca="0">IF(COUNTIF(Library!$B$3:$B$58,C69)&lt;&gt;1,"",INDEX(Library!$D$3:$D$58,MATCH(C69,Library!$B$3:$B$58,0)))</x:f>
        <x:v>4</x:v>
      </x:c>
      <x:c r="K69" s="59" t="n">
        <x:f aca="0">Daily!AK17</x:f>
        <x:v>0</x:v>
      </x:c>
      <x:c r="L69" s="60" t="n">
        <x:f aca="0">IF(COUNTIF(Library!$B$3:$B$58,C69)&lt;&gt;1,"",IF(COUNTIFS(Library!$B$3:$B$58,C69,Library!$E$3:$E$58,"&lt;&gt;")=0,0,INDEX(Library!$E$3:$E$58,MATCH(C69,Library!$B$3:$B$58,0))))</x:f>
        <x:v>0.04</x:v>
      </x:c>
      <x:c r="M69" s="58" t="n">
        <x:f aca="0">IF(COUNT(J69:L69)&lt;&gt;3,"",MIN(10,J69*(1+K69*L69)))</x:f>
        <x:v>4</x:v>
      </x:c>
      <x:c r="N69" s="58">
        <x:f>E69</x:f>
        <x:v>2</x:v>
      </x:c>
      <x:c r="O69" s="58">
        <x:f>IF(COUNT(M69:N69)&lt;&gt;2,"",M69*N69)</x:f>
        <x:v>8</x:v>
      </x:c>
      <x:c r="P69" s="58"/>
      <x:c r="Q69" s="58"/>
      <x:c r="R69" s="15"/>
      <x:c r="S69" s="15"/>
    </x:row>
    <x:row r="70" ht="24" hidden="0" customHeight="1">
      <x:c r="A70" s="79" t="n">
        <x:f aca="0">Daily!A18</x:f>
        <x:v>46353.5</x:v>
      </x:c>
      <x:c r="B70" s="16" t="str">
        <x:f aca="0">Daily!D18</x:f>
        <x:v>Muscle-up movement + Cal-Intervals</x:v>
      </x:c>
      <x:c r="C70" s="15" t="str">
        <x:v>Low-bar transition</x:v>
      </x:c>
      <x:c r="D70" s="15" t="str">
        <x:v>reps</x:v>
      </x:c>
      <x:c r="E70" s="15" t="n">
        <x:v>2</x:v>
      </x:c>
      <x:c r="F70" s="15" t="n">
        <x:v>3</x:v>
      </x:c>
      <x:c r="G70" s="15" t="n">
        <x:f>E70*F70</x:f>
        <x:v>6</x:v>
      </x:c>
      <x:c r="H70" s="15" t="str">
        <x:f aca="0">IF(AND(Daily!G18=TRUE,COUNT(Daily!H18,Daily!I18)&gt;0),SUM(Daily!H18,Daily!I18),"")</x:f>
      </x:c>
      <x:c r="I70" s="58" t="str">
        <x:f aca="0">IF(AND(ISNUMBER(H70),G70&gt;0),100*H70/G70,"")</x:f>
      </x:c>
      <x:c r="J70" s="58" t="n">
        <x:f aca="0">IF(COUNTIF(Library!$B$3:$B$58,C70)&lt;&gt;1,"",INDEX(Library!$D$3:$D$58,MATCH(C70,Library!$B$3:$B$58,0)))</x:f>
        <x:v>4</x:v>
      </x:c>
      <x:c r="K70" s="59" t="n">
        <x:f>Daily!M18</x:f>
        <x:v>0</x:v>
      </x:c>
      <x:c r="L70" s="60" t="n">
        <x:f>IF(COUNTIF(Library!$B$3:$B$58,C70)&lt;&gt;1,"",IF(COUNTIFS(Library!$B$3:$B$58,C70,Library!$E$3:$E$58,"&lt;&gt;")=0,0,INDEX(Library!$E$3:$E$58,MATCH(C70,Library!$B$3:$B$58,0))))</x:f>
        <x:v>0</x:v>
      </x:c>
      <x:c r="M70" s="58" t="n">
        <x:f aca="0">IF(COUNT(J70:L70)&lt;&gt;3,"",MIN(10,J70*(1+K70*L70)))</x:f>
        <x:v>4</x:v>
      </x:c>
      <x:c r="N70" s="58">
        <x:f>E70</x:f>
        <x:v>2</x:v>
      </x:c>
      <x:c r="O70" s="58">
        <x:f>IF(COUNT(M70:N70)&lt;&gt;2,"",M70*N70)</x:f>
        <x:v>8</x:v>
      </x:c>
      <x:c r="P70" s="58">
        <x:f>IF(COUNT(O70:O74)&lt;&gt;COUNT(N70:N74),"",ROUND(SUM(O70:O74)/SUM(N70:N74),1))</x:f>
        <x:v>4.5</x:v>
      </x:c>
      <x:c r="Q70" s="58" t="str">
        <x:f>IF(COUNT(I70:I74)=0,"",MEDIAN(I70:I74))</x:f>
      </x:c>
      <x:c r="R70" s="15" t="n">
        <x:f>COUNT(I70:I74)</x:f>
        <x:v>0</x:v>
      </x:c>
      <x:c r="S70" s="15" t="n">
        <x:v>5</x:v>
      </x:c>
    </x:row>
    <x:row r="71" ht="24" hidden="0" customHeight="1">
      <x:c r="A71" s="79" t="n">
        <x:f aca="0">Daily!A18</x:f>
        <x:v>46353.5</x:v>
      </x:c>
      <x:c r="B71" s="16" t="str">
        <x:f aca="0">Daily!D18</x:f>
        <x:v>Muscle-up movement + Cal-Intervals</x:v>
      </x:c>
      <x:c r="C71" s="15" t="str">
        <x:v>Handstand walk</x:v>
      </x:c>
      <x:c r="D71" s="15" t="str">
        <x:v>m</x:v>
      </x:c>
      <x:c r="E71" s="15" t="n">
        <x:v>2</x:v>
      </x:c>
      <x:c r="F71" s="15" t="n">
        <x:v>3</x:v>
      </x:c>
      <x:c r="G71" s="15" t="n">
        <x:f aca="0">E71*F71</x:f>
        <x:v>6</x:v>
      </x:c>
      <x:c r="H71" s="15" t="str">
        <x:f aca="0">IF(AND(Daily!G18=TRUE,COUNT(Daily!N18,Daily!O18)&gt;0),SUM(Daily!N18,Daily!O18),"")</x:f>
      </x:c>
      <x:c r="I71" s="58" t="str">
        <x:f aca="0">IF(AND(ISNUMBER(H71),G71&gt;0),100*H71/G71,"")</x:f>
      </x:c>
      <x:c r="J71" s="58" t="n">
        <x:f aca="0">IF(COUNTIF(Library!$B$3:$B$58,C71)&lt;&gt;1,"",INDEX(Library!$D$3:$D$58,MATCH(C71,Library!$B$3:$B$58,0)))</x:f>
        <x:v>3</x:v>
      </x:c>
      <x:c r="K71" s="59" t="n">
        <x:f aca="0">Daily!S18</x:f>
        <x:v>0</x:v>
      </x:c>
      <x:c r="L71" s="60" t="n">
        <x:f aca="0">IF(COUNTIF(Library!$B$3:$B$58,C71)&lt;&gt;1,"",IF(COUNTIFS(Library!$B$3:$B$58,C71,Library!$E$3:$E$58,"&lt;&gt;")=0,0,INDEX(Library!$E$3:$E$58,MATCH(C71,Library!$B$3:$B$58,0))))</x:f>
        <x:v>0</x:v>
      </x:c>
      <x:c r="M71" s="58" t="n">
        <x:f aca="0">IF(COUNT(J71:L71)&lt;&gt;3,"",MIN(10,J71*(1+K71*L71)))</x:f>
        <x:v>3</x:v>
      </x:c>
      <x:c r="N71" s="58">
        <x:f>E71</x:f>
        <x:v>2</x:v>
      </x:c>
      <x:c r="O71" s="58">
        <x:f>IF(COUNT(M71:N71)&lt;&gt;2,"",M71*N71)</x:f>
        <x:v>6</x:v>
      </x:c>
      <x:c r="P71" s="58"/>
      <x:c r="Q71" s="58"/>
      <x:c r="R71" s="15"/>
      <x:c r="S71" s="15"/>
    </x:row>
    <x:row r="72" ht="24" hidden="0" customHeight="1">
      <x:c r="A72" s="79" t="n">
        <x:f aca="0">Daily!A18</x:f>
        <x:v>46353.5</x:v>
      </x:c>
      <x:c r="B72" s="16" t="str">
        <x:f aca="0">Daily!D18</x:f>
        <x:v>Muscle-up movement + Cal-Intervals</x:v>
      </x:c>
      <x:c r="C72" s="15" t="str">
        <x:v>Straight-bar dip</x:v>
      </x:c>
      <x:c r="D72" s="15" t="str">
        <x:v>reps</x:v>
      </x:c>
      <x:c r="E72" s="15" t="n">
        <x:v>2</x:v>
      </x:c>
      <x:c r="F72" s="15" t="n">
        <x:v>8</x:v>
      </x:c>
      <x:c r="G72" s="15" t="n">
        <x:f aca="0">E72*F72</x:f>
        <x:v>16</x:v>
      </x:c>
      <x:c r="H72" s="15" t="str">
        <x:f aca="0">IF(AND(Daily!G18=TRUE,COUNT(Daily!T18,Daily!U18)&gt;0),SUM(Daily!T18,Daily!U18),"")</x:f>
      </x:c>
      <x:c r="I72" s="58" t="str">
        <x:f aca="0">IF(AND(ISNUMBER(H72),G72&gt;0),100*H72/G72,"")</x:f>
      </x:c>
      <x:c r="J72" s="58" t="n">
        <x:f aca="0">IF(COUNTIF(Library!$B$3:$B$58,C72)&lt;&gt;1,"",INDEX(Library!$D$3:$D$58,MATCH(C72,Library!$B$3:$B$58,0)))</x:f>
        <x:v>4</x:v>
      </x:c>
      <x:c r="K72" s="59" t="n">
        <x:f aca="0">Daily!Y18</x:f>
        <x:v>0</x:v>
      </x:c>
      <x:c r="L72" s="60" t="n">
        <x:f aca="0">IF(COUNTIF(Library!$B$3:$B$58,C72)&lt;&gt;1,"",IF(COUNTIFS(Library!$B$3:$B$58,C72,Library!$E$3:$E$58,"&lt;&gt;")=0,0,INDEX(Library!$E$3:$E$58,MATCH(C72,Library!$B$3:$B$58,0))))</x:f>
        <x:v>0.02</x:v>
      </x:c>
      <x:c r="M72" s="58" t="n">
        <x:f aca="0">IF(COUNT(J72:L72)&lt;&gt;3,"",MIN(10,J72*(1+K72*L72)))</x:f>
        <x:v>4</x:v>
      </x:c>
      <x:c r="N72" s="58">
        <x:f>E72</x:f>
        <x:v>2</x:v>
      </x:c>
      <x:c r="O72" s="58">
        <x:f>IF(COUNT(M72:N72)&lt;&gt;2,"",M72*N72)</x:f>
        <x:v>8</x:v>
      </x:c>
      <x:c r="P72" s="58"/>
      <x:c r="Q72" s="58"/>
      <x:c r="R72" s="15"/>
      <x:c r="S72" s="15"/>
    </x:row>
    <x:row r="73" ht="24" hidden="0" customHeight="1">
      <x:c r="A73" s="79" t="n">
        <x:f aca="0">Daily!A18</x:f>
        <x:v>46353.5</x:v>
      </x:c>
      <x:c r="B73" s="16" t="str">
        <x:f aca="0">Daily!D18</x:f>
        <x:v>Muscle-up movement + Cal-Intervals</x:v>
      </x:c>
      <x:c r="C73" s="15" t="str">
        <x:v>Elevated pike push-up</x:v>
      </x:c>
      <x:c r="D73" s="15" t="str">
        <x:v>reps</x:v>
      </x:c>
      <x:c r="E73" s="15" t="n">
        <x:v>2</x:v>
      </x:c>
      <x:c r="F73" s="15" t="n">
        <x:v>8</x:v>
      </x:c>
      <x:c r="G73" s="15" t="n">
        <x:f aca="0">E73*F73</x:f>
        <x:v>16</x:v>
      </x:c>
      <x:c r="H73" s="15" t="str">
        <x:f aca="0">IF(AND(Daily!G18=TRUE,COUNT(Daily!Z18,Daily!AA18)&gt;0),SUM(Daily!Z18,Daily!AA18),"")</x:f>
      </x:c>
      <x:c r="I73" s="58" t="str">
        <x:f aca="0">IF(AND(ISNUMBER(H73),G73&gt;0),100*H73/G73,"")</x:f>
      </x:c>
      <x:c r="J73" s="58" t="n">
        <x:f aca="0">IF(COUNTIF(Library!$B$3:$B$58,C73)&lt;&gt;1,"",INDEX(Library!$D$3:$D$58,MATCH(C73,Library!$B$3:$B$58,0)))</x:f>
        <x:v>4</x:v>
      </x:c>
      <x:c r="K73" s="59" t="n">
        <x:f aca="0">Daily!AE18</x:f>
        <x:v>0</x:v>
      </x:c>
      <x:c r="L73" s="60" t="n">
        <x:f aca="0">IF(COUNTIF(Library!$B$3:$B$58,C73)&lt;&gt;1,"",IF(COUNTIFS(Library!$B$3:$B$58,C73,Library!$E$3:$E$58,"&lt;&gt;")=0,0,INDEX(Library!$E$3:$E$58,MATCH(C73,Library!$B$3:$B$58,0))))</x:f>
        <x:v>0</x:v>
      </x:c>
      <x:c r="M73" s="58" t="n">
        <x:f aca="0">IF(COUNT(J73:L73)&lt;&gt;3,"",MIN(10,J73*(1+K73*L73)))</x:f>
        <x:v>4</x:v>
      </x:c>
      <x:c r="N73" s="58">
        <x:f>E73</x:f>
        <x:v>2</x:v>
      </x:c>
      <x:c r="O73" s="58">
        <x:f>IF(COUNT(M73:N73)&lt;&gt;2,"",M73*N73)</x:f>
        <x:v>8</x:v>
      </x:c>
      <x:c r="P73" s="58"/>
      <x:c r="Q73" s="58"/>
      <x:c r="R73" s="15"/>
      <x:c r="S73" s="15"/>
    </x:row>
    <x:row r="74" ht="24" hidden="0" customHeight="1">
      <x:c r="A74" s="79" t="n">
        <x:f aca="0">Daily!A18</x:f>
        <x:v>46353.5</x:v>
      </x:c>
      <x:c r="B74" s="16" t="str">
        <x:f aca="0">Daily!D18</x:f>
        <x:v>Muscle-up movement + Cal-Intervals</x:v>
      </x:c>
      <x:c r="C74" s="15" t="str">
        <x:v>Cal-Intervals</x:v>
      </x:c>
      <x:c r="D74" s="15" t="str">
        <x:v>rounds</x:v>
      </x:c>
      <x:c r="E74" s="15" t="n">
        <x:v>1</x:v>
      </x:c>
      <x:c r="F74" s="15" t="n">
        <x:v>3</x:v>
      </x:c>
      <x:c r="G74" s="15" t="n">
        <x:v>3</x:v>
      </x:c>
      <x:c r="H74" s="15" t="str">
        <x:f aca="0">IF(AND(Daily!G18=TRUE,ISNUMBER(Daily!AL18),Daily!AL18&gt;0),Daily!AL18,"")</x:f>
      </x:c>
      <x:c r="I74" s="58" t="str">
        <x:f aca="0">IF(ISNUMBER(H74),100*H74/G74,"")</x:f>
      </x:c>
      <x:c r="J74" s="58" t="n">
        <x:f aca="0">SUM(Library!F67:F70)/SUM(Library!E67:E70)</x:f>
        <x:v>5</x:v>
      </x:c>
      <x:c r="K74" s="59"/>
      <x:c r="L74" s="60"/>
      <x:c r="M74" s="58" t="n">
        <x:f aca="0">J74</x:f>
        <x:v>5</x:v>
      </x:c>
      <x:c r="N74" s="58">
        <x:f>G74*COUNT(Library!B67:B70)</x:f>
        <x:v>12</x:v>
      </x:c>
      <x:c r="O74" s="58">
        <x:f>IF(COUNT(M74:N74)&lt;&gt;2,"",M74*N74)</x:f>
        <x:v>60</x:v>
      </x:c>
      <x:c r="P74" s="58"/>
      <x:c r="Q74" s="58"/>
      <x:c r="R74" s="15"/>
      <x:c r="S74" s="15"/>
    </x:row>
    <x:row r="75" ht="24" hidden="0" customHeight="1">
      <x:c r="A75" s="79" t="n">
        <x:f aca="0">Daily!A19</x:f>
        <x:v>46356.5</x:v>
      </x:c>
      <x:c r="B75" s="16" t="str">
        <x:f aca="0">Daily!D19</x:f>
        <x:v>Pull and muscle-up strength</x:v>
      </x:c>
      <x:c r="C75" s="15" t="str">
        <x:v>High pull</x:v>
      </x:c>
      <x:c r="D75" s="15" t="str">
        <x:v>reps</x:v>
      </x:c>
      <x:c r="E75" s="15" t="n">
        <x:v>4</x:v>
      </x:c>
      <x:c r="F75" s="15" t="n">
        <x:v>3</x:v>
      </x:c>
      <x:c r="G75" s="15" t="n">
        <x:f aca="0">E75*F75</x:f>
        <x:v>12</x:v>
      </x:c>
      <x:c r="H75" s="15" t="str">
        <x:f aca="0">IF(AND(Daily!G19=TRUE,COUNT(Daily!H19,Daily!I19,Daily!J19,Daily!K19)&gt;0),SUM(Daily!H19,Daily!I19,Daily!J19,Daily!K19),"")</x:f>
      </x:c>
      <x:c r="I75" s="58" t="str">
        <x:f aca="0">IF(AND(ISNUMBER(H75),G75&gt;0),100*H75/G75,"")</x:f>
      </x:c>
      <x:c r="J75" s="58" t="n">
        <x:f aca="0">IF(COUNTIF(Library!$B$3:$B$58,C75)&lt;&gt;1,"",INDEX(Library!$D$3:$D$58,MATCH(C75,Library!$B$3:$B$58,0)))</x:f>
        <x:v>4</x:v>
      </x:c>
      <x:c r="K75" s="59" t="n">
        <x:f aca="0">Daily!M19</x:f>
        <x:v>0</x:v>
      </x:c>
      <x:c r="L75" s="60" t="n">
        <x:f aca="0">IF(COUNTIF(Library!$B$3:$B$58,C75)&lt;&gt;1,"",IF(COUNTIFS(Library!$B$3:$B$58,C75,Library!$E$3:$E$58,"&lt;&gt;")=0,0,INDEX(Library!$E$3:$E$58,MATCH(C75,Library!$B$3:$B$58,0))))</x:f>
        <x:v>0.04</x:v>
      </x:c>
      <x:c r="M75" s="58" t="n">
        <x:f aca="0">IF(COUNT(J75:L75)&lt;&gt;3,"",MIN(10,J75*(1+K75*L75)))</x:f>
        <x:v>4</x:v>
      </x:c>
      <x:c r="N75" s="58">
        <x:f>E75</x:f>
        <x:v>4</x:v>
      </x:c>
      <x:c r="O75" s="58">
        <x:f>IF(COUNT(M75:N75)&lt;&gt;2,"",M75*N75)</x:f>
        <x:v>16</x:v>
      </x:c>
      <x:c r="P75" s="58">
        <x:f>IF(COUNT(O75:O79)&lt;&gt;COUNT(N75:N79),"",ROUND(SUM(O75:O79)/SUM(N75:N79),1))</x:f>
        <x:v>4</x:v>
      </x:c>
      <x:c r="Q75" s="58" t="str">
        <x:f>IF(COUNT(I75:I79)=0,"",MEDIAN(I75:I79))</x:f>
      </x:c>
      <x:c r="R75" s="15" t="n">
        <x:f>COUNT(I75:I79)</x:f>
        <x:v>0</x:v>
      </x:c>
      <x:c r="S75" s="15" t="n">
        <x:v>5</x:v>
      </x:c>
    </x:row>
    <x:row r="76" ht="24" hidden="0" customHeight="1">
      <x:c r="A76" s="79" t="n">
        <x:f aca="0">Daily!A19</x:f>
        <x:v>46356.5</x:v>
      </x:c>
      <x:c r="B76" s="16" t="str">
        <x:f aca="0">Daily!D19</x:f>
        <x:v>Pull and muscle-up strength</x:v>
      </x:c>
      <x:c r="C76" s="15" t="str">
        <x:v>Pull-up</x:v>
      </x:c>
      <x:c r="D76" s="15" t="str">
        <x:v>reps</x:v>
      </x:c>
      <x:c r="E76" s="15" t="n">
        <x:v>4</x:v>
      </x:c>
      <x:c r="F76" s="15" t="n">
        <x:v>6</x:v>
      </x:c>
      <x:c r="G76" s="15" t="n">
        <x:f aca="0">E76*F76</x:f>
        <x:v>24</x:v>
      </x:c>
      <x:c r="H76" s="15" t="str">
        <x:f aca="0">IF(AND(Daily!G19=TRUE,COUNT(Daily!N19,Daily!O19,Daily!P19,Daily!Q19)&gt;0),SUM(Daily!N19,Daily!O19,Daily!P19,Daily!Q19),"")</x:f>
      </x:c>
      <x:c r="I76" s="58" t="str">
        <x:f aca="0">IF(AND(ISNUMBER(H76),G76&gt;0),100*H76/G76,"")</x:f>
      </x:c>
      <x:c r="J76" s="58" t="n">
        <x:f aca="0">IF(COUNTIF(Library!$B$3:$B$58,C76)&lt;&gt;1,"",INDEX(Library!$D$3:$D$58,MATCH(C76,Library!$B$3:$B$58,0)))</x:f>
        <x:v>6</x:v>
      </x:c>
      <x:c r="K76" s="59" t="n">
        <x:f aca="0">Daily!S19</x:f>
        <x:v>0</x:v>
      </x:c>
      <x:c r="L76" s="60" t="n">
        <x:f aca="0">IF(COUNTIF(Library!$B$3:$B$58,C76)&lt;&gt;1,"",IF(COUNTIFS(Library!$B$3:$B$58,C76,Library!$E$3:$E$58,"&lt;&gt;")=0,0,INDEX(Library!$E$3:$E$58,MATCH(C76,Library!$B$3:$B$58,0))))</x:f>
        <x:v>0.04</x:v>
      </x:c>
      <x:c r="M76" s="58" t="n">
        <x:f aca="0">IF(COUNT(J76:L76)&lt;&gt;3,"",MIN(10,J76*(1+K76*L76)))</x:f>
        <x:v>6</x:v>
      </x:c>
      <x:c r="N76" s="58">
        <x:f>E76</x:f>
        <x:v>4</x:v>
      </x:c>
      <x:c r="O76" s="58">
        <x:f>IF(COUNT(M76:N76)&lt;&gt;2,"",M76*N76)</x:f>
        <x:v>24</x:v>
      </x:c>
      <x:c r="P76" s="58"/>
      <x:c r="Q76" s="58"/>
      <x:c r="R76" s="15"/>
      <x:c r="S76" s="15"/>
    </x:row>
    <x:row r="77" ht="24" hidden="0" customHeight="1">
      <x:c r="A77" s="79" t="n">
        <x:f aca="0">Daily!A19</x:f>
        <x:v>46356.5</x:v>
      </x:c>
      <x:c r="B77" s="16" t="str">
        <x:f aca="0">Daily!D19</x:f>
        <x:v>Pull and muscle-up strength</x:v>
      </x:c>
      <x:c r="C77" s="15" t="str">
        <x:v>Parallel-bar dip</x:v>
      </x:c>
      <x:c r="D77" s="15" t="str">
        <x:v>reps</x:v>
      </x:c>
      <x:c r="E77" s="15" t="n">
        <x:v>4</x:v>
      </x:c>
      <x:c r="F77" s="15" t="n">
        <x:v>12</x:v>
      </x:c>
      <x:c r="G77" s="15" t="n">
        <x:f aca="0">E77*F77</x:f>
        <x:v>48</x:v>
      </x:c>
      <x:c r="H77" s="15" t="str">
        <x:f aca="0">IF(AND(Daily!G19=TRUE,COUNT(Daily!T19,Daily!U19,Daily!V19,Daily!W19)&gt;0),SUM(Daily!T19,Daily!U19,Daily!V19,Daily!W19),"")</x:f>
      </x:c>
      <x:c r="I77" s="58" t="str">
        <x:f aca="0">IF(AND(ISNUMBER(H77),G77&gt;0),100*H77/G77,"")</x:f>
      </x:c>
      <x:c r="J77" s="58" t="n">
        <x:f aca="0">IF(COUNTIF(Library!$B$3:$B$58,C77)&lt;&gt;1,"",INDEX(Library!$D$3:$D$58,MATCH(C77,Library!$B$3:$B$58,0)))</x:f>
        <x:v>4</x:v>
      </x:c>
      <x:c r="K77" s="59" t="n">
        <x:f aca="0">Daily!Y19</x:f>
        <x:v>0</x:v>
      </x:c>
      <x:c r="L77" s="60" t="n">
        <x:f aca="0">IF(COUNTIF(Library!$B$3:$B$58,C77)&lt;&gt;1,"",IF(COUNTIFS(Library!$B$3:$B$58,C77,Library!$E$3:$E$58,"&lt;&gt;")=0,0,INDEX(Library!$E$3:$E$58,MATCH(C77,Library!$B$3:$B$58,0))))</x:f>
        <x:v>0.02</x:v>
      </x:c>
      <x:c r="M77" s="58" t="n">
        <x:f aca="0">IF(COUNT(J77:L77)&lt;&gt;3,"",MIN(10,J77*(1+K77*L77)))</x:f>
        <x:v>4</x:v>
      </x:c>
      <x:c r="N77" s="58">
        <x:f>E77</x:f>
        <x:v>4</x:v>
      </x:c>
      <x:c r="O77" s="58">
        <x:f>IF(COUNT(M77:N77)&lt;&gt;2,"",M77*N77)</x:f>
        <x:v>16</x:v>
      </x:c>
      <x:c r="P77" s="58"/>
      <x:c r="Q77" s="58"/>
      <x:c r="R77" s="15"/>
      <x:c r="S77" s="15"/>
    </x:row>
    <x:row r="78" ht="24" hidden="0" customHeight="1">
      <x:c r="A78" s="79" t="n">
        <x:f aca="0">Daily!A19</x:f>
        <x:v>46356.5</x:v>
      </x:c>
      <x:c r="B78" s="16" t="str">
        <x:f aca="0">Daily!D19</x:f>
        <x:v>Pull and muscle-up strength</x:v>
      </x:c>
      <x:c r="C78" s="15" t="str">
        <x:v>Box pistol</x:v>
      </x:c>
      <x:c r="D78" s="15" t="str">
        <x:v>reps/leg</x:v>
      </x:c>
      <x:c r="E78" s="15" t="n">
        <x:v>4</x:v>
      </x:c>
      <x:c r="F78" s="15" t="n">
        <x:v>5</x:v>
      </x:c>
      <x:c r="G78" s="15" t="n">
        <x:f aca="0">E78*F78</x:f>
        <x:v>20</x:v>
      </x:c>
      <x:c r="H78" s="15" t="str">
        <x:f aca="0">IF(AND(Daily!G19=TRUE,COUNT(Daily!Z19,Daily!AA19,Daily!AB19,Daily!AC19)&gt;0),SUM(Daily!Z19,Daily!AA19,Daily!AB19,Daily!AC19),"")</x:f>
      </x:c>
      <x:c r="I78" s="58" t="str">
        <x:f aca="0">IF(AND(ISNUMBER(H78),G78&gt;0),100*H78/G78,"")</x:f>
      </x:c>
      <x:c r="J78" s="58" t="n">
        <x:f aca="0">IF(COUNTIF(Library!$B$3:$B$58,C78)&lt;&gt;1,"",INDEX(Library!$D$3:$D$58,MATCH(C78,Library!$B$3:$B$58,0)))</x:f>
        <x:v>2</x:v>
      </x:c>
      <x:c r="K78" s="59" t="n">
        <x:f aca="0">Daily!AE19</x:f>
        <x:v>0</x:v>
      </x:c>
      <x:c r="L78" s="60" t="n">
        <x:f aca="0">IF(COUNTIF(Library!$B$3:$B$58,C78)&lt;&gt;1,"",IF(COUNTIFS(Library!$B$3:$B$58,C78,Library!$E$3:$E$58,"&lt;&gt;")=0,0,INDEX(Library!$E$3:$E$58,MATCH(C78,Library!$B$3:$B$58,0))))</x:f>
        <x:v>0.03</x:v>
      </x:c>
      <x:c r="M78" s="58" t="n">
        <x:f aca="0">IF(COUNT(J78:L78)&lt;&gt;3,"",MIN(10,J78*(1+K78*L78)))</x:f>
        <x:v>2</x:v>
      </x:c>
      <x:c r="N78" s="58">
        <x:f>E78</x:f>
        <x:v>4</x:v>
      </x:c>
      <x:c r="O78" s="58">
        <x:f>IF(COUNT(M78:N78)&lt;&gt;2,"",M78*N78)</x:f>
        <x:v>8</x:v>
      </x:c>
      <x:c r="P78" s="58"/>
      <x:c r="Q78" s="58"/>
      <x:c r="R78" s="15"/>
      <x:c r="S78" s="15"/>
    </x:row>
    <x:row r="79" ht="24" hidden="0" customHeight="1">
      <x:c r="A79" s="79" t="n">
        <x:f aca="0">Daily!A19</x:f>
        <x:v>46356.5</x:v>
      </x:c>
      <x:c r="B79" s="16" t="str">
        <x:f aca="0">Daily!D19</x:f>
        <x:v>Pull and muscle-up strength</x:v>
      </x:c>
      <x:c r="C79" s="15" t="str">
        <x:v>Sliding hamstring curl</x:v>
      </x:c>
      <x:c r="D79" s="15" t="str">
        <x:v>reps</x:v>
      </x:c>
      <x:c r="E79" s="15" t="n">
        <x:v>3</x:v>
      </x:c>
      <x:c r="F79" s="15" t="n">
        <x:v>10</x:v>
      </x:c>
      <x:c r="G79" s="15" t="n">
        <x:f aca="0">E79*F79</x:f>
        <x:v>30</x:v>
      </x:c>
      <x:c r="H79" s="15" t="str">
        <x:f aca="0">IF(AND(Daily!G19=TRUE,COUNT(Daily!AF19,Daily!AG19,Daily!AH19)&gt;0),SUM(Daily!AF19,Daily!AG19,Daily!AH19),"")</x:f>
      </x:c>
      <x:c r="I79" s="58" t="str">
        <x:f aca="0">IF(AND(ISNUMBER(H79),G79&gt;0),100*H79/G79,"")</x:f>
      </x:c>
      <x:c r="J79" s="58" t="n">
        <x:f aca="0">IF(COUNTIF(Library!$B$3:$B$58,C79)&lt;&gt;1,"",INDEX(Library!$D$3:$D$58,MATCH(C79,Library!$B$3:$B$58,0)))</x:f>
        <x:v>4</x:v>
      </x:c>
      <x:c r="K79" s="59" t="n">
        <x:f aca="0">Daily!AK19</x:f>
        <x:v>0</x:v>
      </x:c>
      <x:c r="L79" s="60" t="n">
        <x:f aca="0">IF(COUNTIF(Library!$B$3:$B$58,C79)&lt;&gt;1,"",IF(COUNTIFS(Library!$B$3:$B$58,C79,Library!$E$3:$E$58,"&lt;&gt;")=0,0,INDEX(Library!$E$3:$E$58,MATCH(C79,Library!$B$3:$B$58,0))))</x:f>
        <x:v>0</x:v>
      </x:c>
      <x:c r="M79" s="58" t="n">
        <x:f aca="0">IF(COUNT(J79:L79)&lt;&gt;3,"",MIN(10,J79*(1+K79*L79)))</x:f>
        <x:v>4</x:v>
      </x:c>
      <x:c r="N79" s="58">
        <x:f>E79</x:f>
        <x:v>3</x:v>
      </x:c>
      <x:c r="O79" s="58">
        <x:f>IF(COUNT(M79:N79)&lt;&gt;2,"",M79*N79)</x:f>
        <x:v>12</x:v>
      </x:c>
      <x:c r="P79" s="58"/>
      <x:c r="Q79" s="58"/>
      <x:c r="R79" s="15"/>
      <x:c r="S79" s="15"/>
    </x:row>
    <x:row r="80" ht="24" hidden="0" customHeight="1">
      <x:c r="A80" s="79" t="n">
        <x:f aca="0">Daily!A20</x:f>
        <x:v>46357.5</x:v>
      </x:c>
      <x:c r="B80" s="16" t="str">
        <x:f aca="0">Daily!D20</x:f>
        <x:v>Optional movement practice</x:v>
      </x:c>
      <x:c r="C80" s="15" t="str">
        <x:v>Wrist/shoulder mobility</x:v>
      </x:c>
      <x:c r="D80" s="15" t="str">
        <x:v>seconds</x:v>
      </x:c>
      <x:c r="E80" s="15" t="n">
        <x:v>1</x:v>
      </x:c>
      <x:c r="F80" s="15" t="n">
        <x:v>120</x:v>
      </x:c>
      <x:c r="G80" s="15" t="n">
        <x:f aca="0">E80*F80</x:f>
        <x:v>120</x:v>
      </x:c>
      <x:c r="H80" s="15" t="str">
        <x:f aca="0">IF(AND(Daily!G20=TRUE,COUNT(Daily!H20)&gt;0),SUM(Daily!H20)*86400,"")</x:f>
      </x:c>
      <x:c r="I80" s="58" t="str">
        <x:f aca="0">IF(AND(ISNUMBER(H80),G80&gt;0),100*H80/G80,"")</x:f>
      </x:c>
      <x:c r="J80" s="58" t="n">
        <x:f aca="0">IF(COUNTIF(Library!$B$3:$B$58,C80)&lt;&gt;1,"",INDEX(Library!$D$3:$D$58,MATCH(C80,Library!$B$3:$B$58,0)))</x:f>
        <x:v>1</x:v>
      </x:c>
      <x:c r="K80" s="59" t="n">
        <x:f aca="0">Daily!M20</x:f>
        <x:v>0</x:v>
      </x:c>
      <x:c r="L80" s="60" t="n">
        <x:f aca="0">IF(COUNTIF(Library!$B$3:$B$58,C80)&lt;&gt;1,"",IF(COUNTIFS(Library!$B$3:$B$58,C80,Library!$E$3:$E$58,"&lt;&gt;")=0,0,INDEX(Library!$E$3:$E$58,MATCH(C80,Library!$B$3:$B$58,0))))</x:f>
        <x:v>0</x:v>
      </x:c>
      <x:c r="M80" s="58" t="n">
        <x:f aca="0">IF(COUNT(J80:L80)&lt;&gt;3,"",MIN(10,J80*(1+K80*L80)))</x:f>
        <x:v>1</x:v>
      </x:c>
      <x:c r="N80" s="58">
        <x:f>E80</x:f>
        <x:v>1</x:v>
      </x:c>
      <x:c r="O80" s="58">
        <x:f>IF(COUNT(M80:N80)&lt;&gt;2,"",M80*N80)</x:f>
        <x:v>1</x:v>
      </x:c>
      <x:c r="P80" s="58">
        <x:f>IF(COUNT(O80:O82)&lt;&gt;COUNT(N80:N82),"",ROUND(SUM(O80:O82)/SUM(N80:N82),1))</x:f>
        <x:v>1</x:v>
      </x:c>
      <x:c r="Q80" s="58" t="str">
        <x:f>IF(COUNT(I80:I82)=0,"",MEDIAN(I80:I82))</x:f>
      </x:c>
      <x:c r="R80" s="15" t="n">
        <x:f>COUNT(I80:I82)</x:f>
        <x:v>0</x:v>
      </x:c>
      <x:c r="S80" s="15" t="n">
        <x:v>3</x:v>
      </x:c>
    </x:row>
    <x:row r="81" ht="24" hidden="0" customHeight="1">
      <x:c r="A81" s="79" t="n">
        <x:f aca="0">Daily!A20</x:f>
        <x:v>46357.5</x:v>
      </x:c>
      <x:c r="B81" s="16" t="str">
        <x:f aca="0">Daily!D20</x:f>
        <x:v>Optional movement practice</x:v>
      </x:c>
      <x:c r="C81" s="15" t="str">
        <x:v>Easy handstand walk</x:v>
      </x:c>
      <x:c r="D81" s="15" t="str">
        <x:v>m</x:v>
      </x:c>
      <x:c r="E81" s="15" t="n">
        <x:v>3</x:v>
      </x:c>
      <x:c r="F81" s="15" t="n">
        <x:v>2</x:v>
      </x:c>
      <x:c r="G81" s="15" t="n">
        <x:f aca="0">E81*F81</x:f>
        <x:v>6</x:v>
      </x:c>
      <x:c r="H81" s="15" t="str">
        <x:f aca="0">IF(AND(Daily!G20=TRUE,COUNT(Daily!N20,Daily!O20,Daily!P20)&gt;0),SUM(Daily!N20,Daily!O20,Daily!P20),"")</x:f>
      </x:c>
      <x:c r="I81" s="58" t="str">
        <x:f aca="0">IF(AND(ISNUMBER(H81),G81&gt;0),100*H81/G81,"")</x:f>
      </x:c>
      <x:c r="J81" s="58" t="n">
        <x:f aca="0">IF(COUNTIF(Library!$B$3:$B$58,C81)&lt;&gt;1,"",INDEX(Library!$D$3:$D$58,MATCH(C81,Library!$B$3:$B$58,0)))</x:f>
        <x:v>1</x:v>
      </x:c>
      <x:c r="K81" s="59" t="n">
        <x:f aca="0">Daily!S20</x:f>
        <x:v>0</x:v>
      </x:c>
      <x:c r="L81" s="60" t="n">
        <x:f aca="0">IF(COUNTIF(Library!$B$3:$B$58,C81)&lt;&gt;1,"",IF(COUNTIFS(Library!$B$3:$B$58,C81,Library!$E$3:$E$58,"&lt;&gt;")=0,0,INDEX(Library!$E$3:$E$58,MATCH(C81,Library!$B$3:$B$58,0))))</x:f>
        <x:v>0</x:v>
      </x:c>
      <x:c r="M81" s="58" t="n">
        <x:f aca="0">IF(COUNT(J81:L81)&lt;&gt;3,"",MIN(10,J81*(1+K81*L81)))</x:f>
        <x:v>1</x:v>
      </x:c>
      <x:c r="N81" s="58">
        <x:f>E81</x:f>
        <x:v>3</x:v>
      </x:c>
      <x:c r="O81" s="58">
        <x:f>IF(COUNT(M81:N81)&lt;&gt;2,"",M81*N81)</x:f>
        <x:v>3</x:v>
      </x:c>
      <x:c r="P81" s="58"/>
      <x:c r="Q81" s="58"/>
      <x:c r="R81" s="15"/>
      <x:c r="S81" s="15"/>
    </x:row>
    <x:row r="82" ht="24" hidden="0" customHeight="1">
      <x:c r="A82" s="79" t="n">
        <x:f aca="0">Daily!A20</x:f>
        <x:v>46357.5</x:v>
      </x:c>
      <x:c r="B82" s="16" t="str">
        <x:f aca="0">Daily!D20</x:f>
        <x:v>Optional movement practice</x:v>
      </x:c>
      <x:c r="C82" s="15" t="str">
        <x:v>Easy bear crawl</x:v>
      </x:c>
      <x:c r="D82" s="15" t="str">
        <x:v>seconds</x:v>
      </x:c>
      <x:c r="E82" s="15" t="n">
        <x:v>3</x:v>
      </x:c>
      <x:c r="F82" s="15" t="n">
        <x:v>20</x:v>
      </x:c>
      <x:c r="G82" s="15" t="n">
        <x:f aca="0">E82*F82</x:f>
        <x:v>60</x:v>
      </x:c>
      <x:c r="H82" s="15" t="str">
        <x:f aca="0">IF(AND(Daily!G20=TRUE,COUNT(Daily!T20,Daily!U20,Daily!V20)&gt;0),SUM(Daily!T20,Daily!U20,Daily!V20)*86400,"")</x:f>
      </x:c>
      <x:c r="I82" s="58" t="str">
        <x:f aca="0">IF(AND(ISNUMBER(H82),G82&gt;0),100*H82/G82,"")</x:f>
      </x:c>
      <x:c r="J82" s="58" t="n">
        <x:f aca="0">IF(COUNTIF(Library!$B$3:$B$58,C82)&lt;&gt;1,"",INDEX(Library!$D$3:$D$58,MATCH(C82,Library!$B$3:$B$58,0)))</x:f>
        <x:v>1</x:v>
      </x:c>
      <x:c r="K82" s="59" t="n">
        <x:f aca="0">Daily!Y20</x:f>
        <x:v>0</x:v>
      </x:c>
      <x:c r="L82" s="60" t="n">
        <x:f aca="0">IF(COUNTIF(Library!$B$3:$B$58,C82)&lt;&gt;1,"",IF(COUNTIFS(Library!$B$3:$B$58,C82,Library!$E$3:$E$58,"&lt;&gt;")=0,0,INDEX(Library!$E$3:$E$58,MATCH(C82,Library!$B$3:$B$58,0))))</x:f>
        <x:v>0</x:v>
      </x:c>
      <x:c r="M82" s="58" t="n">
        <x:f aca="0">IF(COUNT(J82:L82)&lt;&gt;3,"",MIN(10,J82*(1+K82*L82)))</x:f>
        <x:v>1</x:v>
      </x:c>
      <x:c r="N82" s="58">
        <x:f>E82</x:f>
        <x:v>3</x:v>
      </x:c>
      <x:c r="O82" s="58">
        <x:f>IF(COUNT(M82:N82)&lt;&gt;2,"",M82*N82)</x:f>
        <x:v>3</x:v>
      </x:c>
      <x:c r="P82" s="58"/>
      <x:c r="Q82" s="58"/>
      <x:c r="R82" s="15"/>
      <x:c r="S82" s="15"/>
    </x:row>
    <x:row r="83" ht="24" hidden="0" customHeight="1">
      <x:c r="A83" s="79" t="n">
        <x:f aca="0">Daily!A21</x:f>
        <x:v>46358.5</x:v>
      </x:c>
      <x:c r="B83" s="16" t="str">
        <x:f aca="0">Daily!D21</x:f>
        <x:v>Handstand movement and strength</x:v>
      </x:c>
      <x:c r="C83" s="15" t="str">
        <x:v>Handstand walk</x:v>
      </x:c>
      <x:c r="D83" s="15" t="str">
        <x:v>m</x:v>
      </x:c>
      <x:c r="E83" s="15" t="n">
        <x:v>3</x:v>
      </x:c>
      <x:c r="F83" s="15" t="n">
        <x:v>3</x:v>
      </x:c>
      <x:c r="G83" s="15" t="n">
        <x:f aca="0">E83*F83</x:f>
        <x:v>9</x:v>
      </x:c>
      <x:c r="H83" s="15" t="str">
        <x:f aca="0">IF(AND(Daily!G21=TRUE,COUNT(Daily!H21,Daily!I21,Daily!J21)&gt;0),SUM(Daily!H21,Daily!I21,Daily!J21),"")</x:f>
      </x:c>
      <x:c r="I83" s="58" t="str">
        <x:f aca="0">IF(AND(ISNUMBER(H83),G83&gt;0),100*H83/G83,"")</x:f>
      </x:c>
      <x:c r="J83" s="58" t="n">
        <x:f aca="0">IF(COUNTIF(Library!$B$3:$B$58,C83)&lt;&gt;1,"",INDEX(Library!$D$3:$D$58,MATCH(C83,Library!$B$3:$B$58,0)))</x:f>
        <x:v>3</x:v>
      </x:c>
      <x:c r="K83" s="59" t="n">
        <x:f aca="0">Daily!M21</x:f>
        <x:v>0</x:v>
      </x:c>
      <x:c r="L83" s="60" t="n">
        <x:f aca="0">IF(COUNTIF(Library!$B$3:$B$58,C83)&lt;&gt;1,"",IF(COUNTIFS(Library!$B$3:$B$58,C83,Library!$E$3:$E$58,"&lt;&gt;")=0,0,INDEX(Library!$E$3:$E$58,MATCH(C83,Library!$B$3:$B$58,0))))</x:f>
        <x:v>0</x:v>
      </x:c>
      <x:c r="M83" s="58" t="n">
        <x:f aca="0">IF(COUNT(J83:L83)&lt;&gt;3,"",MIN(10,J83*(1+K83*L83)))</x:f>
        <x:v>3</x:v>
      </x:c>
      <x:c r="N83" s="58">
        <x:f>E83</x:f>
        <x:v>3</x:v>
      </x:c>
      <x:c r="O83" s="58">
        <x:f>IF(COUNT(M83:N83)&lt;&gt;2,"",M83*N83)</x:f>
        <x:v>9</x:v>
      </x:c>
      <x:c r="P83" s="58">
        <x:f>IF(COUNT(O83:O87)&lt;&gt;COUNT(N83:N87),"",ROUND(SUM(O83:O87)/SUM(N83:N87),1))</x:f>
        <x:v>3.8</x:v>
      </x:c>
      <x:c r="Q83" s="58" t="str">
        <x:f>IF(COUNT(I83:I87)=0,"",MEDIAN(I83:I87))</x:f>
      </x:c>
      <x:c r="R83" s="15" t="n">
        <x:f>COUNT(I83:I87)</x:f>
        <x:v>0</x:v>
      </x:c>
      <x:c r="S83" s="15" t="n">
        <x:v>5</x:v>
      </x:c>
    </x:row>
    <x:row r="84" ht="24" hidden="0" customHeight="1">
      <x:c r="A84" s="79" t="n">
        <x:f aca="0">Daily!A21</x:f>
        <x:v>46358.5</x:v>
      </x:c>
      <x:c r="B84" s="16" t="str">
        <x:f aca="0">Daily!D21</x:f>
        <x:v>Handstand movement and strength</x:v>
      </x:c>
      <x:c r="C84" s="15" t="str">
        <x:v>Elevated pike push-up</x:v>
      </x:c>
      <x:c r="D84" s="15" t="str">
        <x:v>reps</x:v>
      </x:c>
      <x:c r="E84" s="15" t="n">
        <x:v>4</x:v>
      </x:c>
      <x:c r="F84" s="15" t="n">
        <x:v>8</x:v>
      </x:c>
      <x:c r="G84" s="15" t="n">
        <x:f aca="0">E84*F84</x:f>
        <x:v>32</x:v>
      </x:c>
      <x:c r="H84" s="15" t="str">
        <x:f aca="0">IF(AND(Daily!G21=TRUE,COUNT(Daily!N21,Daily!O21,Daily!P21,Daily!Q21)&gt;0),SUM(Daily!N21,Daily!O21,Daily!P21,Daily!Q21),"")</x:f>
      </x:c>
      <x:c r="I84" s="58" t="str">
        <x:f aca="0">IF(AND(ISNUMBER(H84),G84&gt;0),100*H84/G84,"")</x:f>
      </x:c>
      <x:c r="J84" s="58" t="n">
        <x:f aca="0">IF(COUNTIF(Library!$B$3:$B$58,C84)&lt;&gt;1,"",INDEX(Library!$D$3:$D$58,MATCH(C84,Library!$B$3:$B$58,0)))</x:f>
        <x:v>4</x:v>
      </x:c>
      <x:c r="K84" s="59" t="n">
        <x:f aca="0">Daily!S21</x:f>
        <x:v>0</x:v>
      </x:c>
      <x:c r="L84" s="60" t="n">
        <x:f aca="0">IF(COUNTIF(Library!$B$3:$B$58,C84)&lt;&gt;1,"",IF(COUNTIFS(Library!$B$3:$B$58,C84,Library!$E$3:$E$58,"&lt;&gt;")=0,0,INDEX(Library!$E$3:$E$58,MATCH(C84,Library!$B$3:$B$58,0))))</x:f>
        <x:v>0</x:v>
      </x:c>
      <x:c r="M84" s="58" t="n">
        <x:f aca="0">IF(COUNT(J84:L84)&lt;&gt;3,"",MIN(10,J84*(1+K84*L84)))</x:f>
        <x:v>4</x:v>
      </x:c>
      <x:c r="N84" s="58">
        <x:f>E84</x:f>
        <x:v>4</x:v>
      </x:c>
      <x:c r="O84" s="58">
        <x:f>IF(COUNT(M84:N84)&lt;&gt;2,"",M84*N84)</x:f>
        <x:v>16</x:v>
      </x:c>
      <x:c r="P84" s="58"/>
      <x:c r="Q84" s="58"/>
      <x:c r="R84" s="15"/>
      <x:c r="S84" s="15"/>
    </x:row>
    <x:row r="85" ht="24" hidden="0" customHeight="1">
      <x:c r="A85" s="79" t="n">
        <x:f aca="0">Daily!A21</x:f>
        <x:v>46358.5</x:v>
      </x:c>
      <x:c r="B85" s="16" t="str">
        <x:f aca="0">Daily!D21</x:f>
        <x:v>Handstand movement and strength</x:v>
      </x:c>
      <x:c r="C85" s="15" t="str">
        <x:v>Pull-up</x:v>
      </x:c>
      <x:c r="D85" s="15" t="str">
        <x:v>reps</x:v>
      </x:c>
      <x:c r="E85" s="15" t="n">
        <x:v>4</x:v>
      </x:c>
      <x:c r="F85" s="15" t="n">
        <x:v>6</x:v>
      </x:c>
      <x:c r="G85" s="15" t="n">
        <x:f aca="0">E85*F85</x:f>
        <x:v>24</x:v>
      </x:c>
      <x:c r="H85" s="15" t="str">
        <x:f aca="0">IF(AND(Daily!G21=TRUE,COUNT(Daily!T21,Daily!U21,Daily!V21,Daily!W21)&gt;0),SUM(Daily!T21,Daily!U21,Daily!V21,Daily!W21),"")</x:f>
      </x:c>
      <x:c r="I85" s="58" t="str">
        <x:f aca="0">IF(AND(ISNUMBER(H85),G85&gt;0),100*H85/G85,"")</x:f>
      </x:c>
      <x:c r="J85" s="58" t="n">
        <x:f aca="0">IF(COUNTIF(Library!$B$3:$B$58,C85)&lt;&gt;1,"",INDEX(Library!$D$3:$D$58,MATCH(C85,Library!$B$3:$B$58,0)))</x:f>
        <x:v>6</x:v>
      </x:c>
      <x:c r="K85" s="59" t="n">
        <x:f aca="0">Daily!Y21</x:f>
        <x:v>0</x:v>
      </x:c>
      <x:c r="L85" s="60" t="n">
        <x:f aca="0">IF(COUNTIF(Library!$B$3:$B$58,C85)&lt;&gt;1,"",IF(COUNTIFS(Library!$B$3:$B$58,C85,Library!$E$3:$E$58,"&lt;&gt;")=0,0,INDEX(Library!$E$3:$E$58,MATCH(C85,Library!$B$3:$B$58,0))))</x:f>
        <x:v>0.04</x:v>
      </x:c>
      <x:c r="M85" s="58" t="n">
        <x:f aca="0">IF(COUNT(J85:L85)&lt;&gt;3,"",MIN(10,J85*(1+K85*L85)))</x:f>
        <x:v>6</x:v>
      </x:c>
      <x:c r="N85" s="58">
        <x:f>E85</x:f>
        <x:v>4</x:v>
      </x:c>
      <x:c r="O85" s="58">
        <x:f>IF(COUNT(M85:N85)&lt;&gt;2,"",M85*N85)</x:f>
        <x:v>24</x:v>
      </x:c>
      <x:c r="P85" s="58"/>
      <x:c r="Q85" s="58"/>
      <x:c r="R85" s="15"/>
      <x:c r="S85" s="15"/>
    </x:row>
    <x:row r="86" ht="24" hidden="0" customHeight="1">
      <x:c r="A86" s="79" t="n">
        <x:f aca="0">Daily!A21</x:f>
        <x:v>46358.5</x:v>
      </x:c>
      <x:c r="B86" s="16" t="str">
        <x:f aca="0">Daily!D21</x:f>
        <x:v>Handstand movement and strength</x:v>
      </x:c>
      <x:c r="C86" s="15" t="str">
        <x:v>Box pistol</x:v>
      </x:c>
      <x:c r="D86" s="15" t="str">
        <x:v>reps/leg</x:v>
      </x:c>
      <x:c r="E86" s="15" t="n">
        <x:v>4</x:v>
      </x:c>
      <x:c r="F86" s="15" t="n">
        <x:v>5</x:v>
      </x:c>
      <x:c r="G86" s="15" t="n">
        <x:f aca="0">E86*F86</x:f>
        <x:v>20</x:v>
      </x:c>
      <x:c r="H86" s="15" t="str">
        <x:f aca="0">IF(AND(Daily!G21=TRUE,COUNT(Daily!Z21,Daily!AA21,Daily!AB21,Daily!AC21)&gt;0),SUM(Daily!Z21,Daily!AA21,Daily!AB21,Daily!AC21),"")</x:f>
      </x:c>
      <x:c r="I86" s="58" t="str">
        <x:f aca="0">IF(AND(ISNUMBER(H86),G86&gt;0),100*H86/G86,"")</x:f>
      </x:c>
      <x:c r="J86" s="58" t="n">
        <x:f aca="0">IF(COUNTIF(Library!$B$3:$B$58,C86)&lt;&gt;1,"",INDEX(Library!$D$3:$D$58,MATCH(C86,Library!$B$3:$B$58,0)))</x:f>
        <x:v>2</x:v>
      </x:c>
      <x:c r="K86" s="59" t="n">
        <x:f aca="0">Daily!AE21</x:f>
        <x:v>0</x:v>
      </x:c>
      <x:c r="L86" s="60" t="n">
        <x:f aca="0">IF(COUNTIF(Library!$B$3:$B$58,C86)&lt;&gt;1,"",IF(COUNTIFS(Library!$B$3:$B$58,C86,Library!$E$3:$E$58,"&lt;&gt;")=0,0,INDEX(Library!$E$3:$E$58,MATCH(C86,Library!$B$3:$B$58,0))))</x:f>
        <x:v>0.03</x:v>
      </x:c>
      <x:c r="M86" s="58" t="n">
        <x:f aca="0">IF(COUNT(J86:L86)&lt;&gt;3,"",MIN(10,J86*(1+K86*L86)))</x:f>
        <x:v>2</x:v>
      </x:c>
      <x:c r="N86" s="58">
        <x:f>E86</x:f>
        <x:v>4</x:v>
      </x:c>
      <x:c r="O86" s="58">
        <x:f>IF(COUNT(M86:N86)&lt;&gt;2,"",M86*N86)</x:f>
        <x:v>8</x:v>
      </x:c>
      <x:c r="P86" s="58"/>
      <x:c r="Q86" s="58"/>
      <x:c r="R86" s="15"/>
      <x:c r="S86" s="15"/>
    </x:row>
    <x:row r="87" ht="24" hidden="0" customHeight="1">
      <x:c r="A87" s="79" t="n">
        <x:f aca="0">Daily!A21</x:f>
        <x:v>46358.5</x:v>
      </x:c>
      <x:c r="B87" s="16" t="str">
        <x:f aca="0">Daily!D21</x:f>
        <x:v>Handstand movement and strength</x:v>
      </x:c>
      <x:c r="C87" s="15" t="str">
        <x:v>Bar row</x:v>
      </x:c>
      <x:c r="D87" s="15" t="str">
        <x:v>reps</x:v>
      </x:c>
      <x:c r="E87" s="15" t="n">
        <x:v>4</x:v>
      </x:c>
      <x:c r="F87" s="15" t="n">
        <x:v>12</x:v>
      </x:c>
      <x:c r="G87" s="15" t="n">
        <x:f>E87*F87</x:f>
        <x:v>48</x:v>
      </x:c>
      <x:c r="H87" s="15" t="str">
        <x:f aca="0">IF(AND(Daily!G21=TRUE,COUNT(Daily!AF21,Daily!AG21,Daily!AH21,Daily!AI21)&gt;0),SUM(Daily!AF21,Daily!AG21,Daily!AH21,Daily!AI21),"")</x:f>
      </x:c>
      <x:c r="I87" s="58" t="str">
        <x:f aca="0">IF(AND(ISNUMBER(H87),G87&gt;0),100*H87/G87,"")</x:f>
      </x:c>
      <x:c r="J87" s="58" t="n">
        <x:f aca="0">IF(COUNTIF(Library!$B$3:$B$58,C87)&lt;&gt;1,"",INDEX(Library!$D$3:$D$58,MATCH(C87,Library!$B$3:$B$58,0)))</x:f>
        <x:v>4</x:v>
      </x:c>
      <x:c r="K87" s="59" t="n">
        <x:f>Daily!AK21</x:f>
        <x:v>0</x:v>
      </x:c>
      <x:c r="L87" s="60" t="n">
        <x:f>IF(COUNTIF(Library!$B$3:$B$58,C87)&lt;&gt;1,"",IF(COUNTIFS(Library!$B$3:$B$58,C87,Library!$E$3:$E$58,"&lt;&gt;")=0,0,INDEX(Library!$E$3:$E$58,MATCH(C87,Library!$B$3:$B$58,0))))</x:f>
        <x:v>0.04</x:v>
      </x:c>
      <x:c r="M87" s="58" t="n">
        <x:f aca="0">IF(COUNT(J87:L87)&lt;&gt;3,"",MIN(10,J87*(1+K87*L87)))</x:f>
        <x:v>4</x:v>
      </x:c>
      <x:c r="N87" s="58">
        <x:f>E87</x:f>
        <x:v>4</x:v>
      </x:c>
      <x:c r="O87" s="58">
        <x:f>IF(COUNT(M87:N87)&lt;&gt;2,"",M87*N87)</x:f>
        <x:v>16</x:v>
      </x:c>
      <x:c r="P87" s="58"/>
      <x:c r="Q87" s="58"/>
      <x:c r="R87" s="15"/>
      <x:c r="S87" s="15"/>
    </x:row>
    <x:row r="88" ht="24" hidden="0" customHeight="1">
      <x:c r="A88" s="79" t="n">
        <x:f aca="0">Daily!A22</x:f>
        <x:v>46360.5</x:v>
      </x:c>
      <x:c r="B88" s="16" t="str">
        <x:f aca="0">Daily!D22</x:f>
        <x:v>Muscle-up movement + Cal-Intervals</x:v>
      </x:c>
      <x:c r="C88" s="15" t="str">
        <x:v>Low-bar transition</x:v>
      </x:c>
      <x:c r="D88" s="15" t="str">
        <x:v>reps</x:v>
      </x:c>
      <x:c r="E88" s="15" t="n">
        <x:v>4</x:v>
      </x:c>
      <x:c r="F88" s="15" t="n">
        <x:v>3</x:v>
      </x:c>
      <x:c r="G88" s="15" t="n">
        <x:f aca="0">E88*F88</x:f>
        <x:v>12</x:v>
      </x:c>
      <x:c r="H88" s="15" t="str">
        <x:f aca="0">IF(AND(Daily!G22=TRUE,COUNT(Daily!H22,Daily!I22,Daily!J22,Daily!K22)&gt;0),SUM(Daily!H22,Daily!I22,Daily!J22,Daily!K22),"")</x:f>
      </x:c>
      <x:c r="I88" s="58" t="str">
        <x:f aca="0">IF(AND(ISNUMBER(H88),G88&gt;0),100*H88/G88,"")</x:f>
      </x:c>
      <x:c r="J88" s="58" t="n">
        <x:f aca="0">IF(COUNTIF(Library!$B$3:$B$58,C88)&lt;&gt;1,"",INDEX(Library!$D$3:$D$58,MATCH(C88,Library!$B$3:$B$58,0)))</x:f>
        <x:v>4</x:v>
      </x:c>
      <x:c r="K88" s="59" t="n">
        <x:f aca="0">Daily!M22</x:f>
        <x:v>0</x:v>
      </x:c>
      <x:c r="L88" s="60" t="n">
        <x:f aca="0">IF(COUNTIF(Library!$B$3:$B$58,C88)&lt;&gt;1,"",IF(COUNTIFS(Library!$B$3:$B$58,C88,Library!$E$3:$E$58,"&lt;&gt;")=0,0,INDEX(Library!$E$3:$E$58,MATCH(C88,Library!$B$3:$B$58,0))))</x:f>
        <x:v>0</x:v>
      </x:c>
      <x:c r="M88" s="58" t="n">
        <x:f aca="0">IF(COUNT(J88:L88)&lt;&gt;3,"",MIN(10,J88*(1+K88*L88)))</x:f>
        <x:v>4</x:v>
      </x:c>
      <x:c r="N88" s="58">
        <x:f>E88</x:f>
        <x:v>4</x:v>
      </x:c>
      <x:c r="O88" s="58">
        <x:f>IF(COUNT(M88:N88)&lt;&gt;2,"",M88*N88)</x:f>
        <x:v>16</x:v>
      </x:c>
      <x:c r="P88" s="58">
        <x:f>IF(COUNT(O88:O92)&lt;&gt;COUNT(N88:N92),"",ROUND(SUM(O88:O92)/SUM(N88:N92),1))</x:f>
        <x:v>4.4</x:v>
      </x:c>
      <x:c r="Q88" s="58" t="str">
        <x:f aca="0">IF(COUNT(I88:I92)=0,"",MEDIAN(I88:I92))</x:f>
      </x:c>
      <x:c r="R88" s="15" t="n">
        <x:f aca="0">COUNT(I88:I92)</x:f>
        <x:v>0</x:v>
      </x:c>
      <x:c r="S88" s="15" t="n">
        <x:v>5</x:v>
      </x:c>
    </x:row>
    <x:row r="89" ht="24" hidden="0" customHeight="1">
      <x:c r="A89" s="79" t="n">
        <x:f aca="0">Daily!A22</x:f>
        <x:v>46360.5</x:v>
      </x:c>
      <x:c r="B89" s="16" t="str">
        <x:f aca="0">Daily!D22</x:f>
        <x:v>Muscle-up movement + Cal-Intervals</x:v>
      </x:c>
      <x:c r="C89" s="15" t="str">
        <x:v>Handstand walk</x:v>
      </x:c>
      <x:c r="D89" s="15" t="str">
        <x:v>m</x:v>
      </x:c>
      <x:c r="E89" s="15" t="n">
        <x:v>4</x:v>
      </x:c>
      <x:c r="F89" s="15" t="n">
        <x:v>3</x:v>
      </x:c>
      <x:c r="G89" s="15" t="n">
        <x:f aca="0">E89*F89</x:f>
        <x:v>12</x:v>
      </x:c>
      <x:c r="H89" s="15" t="str">
        <x:f aca="0">IF(AND(Daily!G22=TRUE,COUNT(Daily!N22,Daily!O22,Daily!P22,Daily!Q22)&gt;0),SUM(Daily!N22,Daily!O22,Daily!P22,Daily!Q22),"")</x:f>
      </x:c>
      <x:c r="I89" s="58" t="str">
        <x:f aca="0">IF(AND(ISNUMBER(H89),G89&gt;0),100*H89/G89,"")</x:f>
      </x:c>
      <x:c r="J89" s="58" t="n">
        <x:f aca="0">IF(COUNTIF(Library!$B$3:$B$58,C89)&lt;&gt;1,"",INDEX(Library!$D$3:$D$58,MATCH(C89,Library!$B$3:$B$58,0)))</x:f>
        <x:v>3</x:v>
      </x:c>
      <x:c r="K89" s="59" t="n">
        <x:f aca="0">Daily!S22</x:f>
        <x:v>0</x:v>
      </x:c>
      <x:c r="L89" s="60" t="n">
        <x:f aca="0">IF(COUNTIF(Library!$B$3:$B$58,C89)&lt;&gt;1,"",IF(COUNTIFS(Library!$B$3:$B$58,C89,Library!$E$3:$E$58,"&lt;&gt;")=0,0,INDEX(Library!$E$3:$E$58,MATCH(C89,Library!$B$3:$B$58,0))))</x:f>
        <x:v>0</x:v>
      </x:c>
      <x:c r="M89" s="58" t="n">
        <x:f aca="0">IF(COUNT(J89:L89)&lt;&gt;3,"",MIN(10,J89*(1+K89*L89)))</x:f>
        <x:v>3</x:v>
      </x:c>
      <x:c r="N89" s="58">
        <x:f>E89</x:f>
        <x:v>4</x:v>
      </x:c>
      <x:c r="O89" s="58">
        <x:f>IF(COUNT(M89:N89)&lt;&gt;2,"",M89*N89)</x:f>
        <x:v>12</x:v>
      </x:c>
      <x:c r="P89" s="58"/>
      <x:c r="Q89" s="58"/>
      <x:c r="R89" s="15"/>
      <x:c r="S89" s="15"/>
    </x:row>
    <x:row r="90" ht="24" hidden="0" customHeight="1">
      <x:c r="A90" s="79" t="n">
        <x:f aca="0">Daily!A22</x:f>
        <x:v>46360.5</x:v>
      </x:c>
      <x:c r="B90" s="16" t="str">
        <x:f aca="0">Daily!D22</x:f>
        <x:v>Muscle-up movement + Cal-Intervals</x:v>
      </x:c>
      <x:c r="C90" s="15" t="str">
        <x:v>Straight-bar dip</x:v>
      </x:c>
      <x:c r="D90" s="15" t="str">
        <x:v>reps</x:v>
      </x:c>
      <x:c r="E90" s="15" t="n">
        <x:v>4</x:v>
      </x:c>
      <x:c r="F90" s="15" t="n">
        <x:v>8</x:v>
      </x:c>
      <x:c r="G90" s="15" t="n">
        <x:f aca="0">E90*F90</x:f>
        <x:v>32</x:v>
      </x:c>
      <x:c r="H90" s="15" t="str">
        <x:f aca="0">IF(AND(Daily!G22=TRUE,COUNT(Daily!T22,Daily!U22,Daily!V22,Daily!W22)&gt;0),SUM(Daily!T22,Daily!U22,Daily!V22,Daily!W22),"")</x:f>
      </x:c>
      <x:c r="I90" s="58" t="str">
        <x:f aca="0">IF(AND(ISNUMBER(H90),G90&gt;0),100*H90/G90,"")</x:f>
      </x:c>
      <x:c r="J90" s="58" t="n">
        <x:f aca="0">IF(COUNTIF(Library!$B$3:$B$58,C90)&lt;&gt;1,"",INDEX(Library!$D$3:$D$58,MATCH(C90,Library!$B$3:$B$58,0)))</x:f>
        <x:v>4</x:v>
      </x:c>
      <x:c r="K90" s="59" t="n">
        <x:f aca="0">Daily!Y22</x:f>
        <x:v>0</x:v>
      </x:c>
      <x:c r="L90" s="60" t="n">
        <x:f aca="0">IF(COUNTIF(Library!$B$3:$B$58,C90)&lt;&gt;1,"",IF(COUNTIFS(Library!$B$3:$B$58,C90,Library!$E$3:$E$58,"&lt;&gt;")=0,0,INDEX(Library!$E$3:$E$58,MATCH(C90,Library!$B$3:$B$58,0))))</x:f>
        <x:v>0.02</x:v>
      </x:c>
      <x:c r="M90" s="58" t="n">
        <x:f aca="0">IF(COUNT(J90:L90)&lt;&gt;3,"",MIN(10,J90*(1+K90*L90)))</x:f>
        <x:v>4</x:v>
      </x:c>
      <x:c r="N90" s="58">
        <x:f>E90</x:f>
        <x:v>4</x:v>
      </x:c>
      <x:c r="O90" s="58">
        <x:f>IF(COUNT(M90:N90)&lt;&gt;2,"",M90*N90)</x:f>
        <x:v>16</x:v>
      </x:c>
      <x:c r="P90" s="58"/>
      <x:c r="Q90" s="58"/>
      <x:c r="R90" s="15"/>
      <x:c r="S90" s="15"/>
    </x:row>
    <x:row r="91" ht="24" hidden="0" customHeight="1">
      <x:c r="A91" s="79" t="n">
        <x:f aca="0">Daily!A22</x:f>
        <x:v>46360.5</x:v>
      </x:c>
      <x:c r="B91" s="16" t="str">
        <x:f aca="0">Daily!D22</x:f>
        <x:v>Muscle-up movement + Cal-Intervals</x:v>
      </x:c>
      <x:c r="C91" s="15" t="str">
        <x:v>Elevated pike push-up</x:v>
      </x:c>
      <x:c r="D91" s="15" t="str">
        <x:v>reps</x:v>
      </x:c>
      <x:c r="E91" s="15" t="n">
        <x:v>4</x:v>
      </x:c>
      <x:c r="F91" s="15" t="n">
        <x:v>8</x:v>
      </x:c>
      <x:c r="G91" s="15" t="n">
        <x:f aca="0">E91*F91</x:f>
        <x:v>32</x:v>
      </x:c>
      <x:c r="H91" s="15" t="str">
        <x:f aca="0">IF(AND(Daily!G22=TRUE,COUNT(Daily!Z22,Daily!AA22,Daily!AB22,Daily!AC22)&gt;0),SUM(Daily!Z22,Daily!AA22,Daily!AB22,Daily!AC22),"")</x:f>
      </x:c>
      <x:c r="I91" s="58" t="str">
        <x:f aca="0">IF(AND(ISNUMBER(H91),G91&gt;0),100*H91/G91,"")</x:f>
      </x:c>
      <x:c r="J91" s="58" t="n">
        <x:f aca="0">IF(COUNTIF(Library!$B$3:$B$58,C91)&lt;&gt;1,"",INDEX(Library!$D$3:$D$58,MATCH(C91,Library!$B$3:$B$58,0)))</x:f>
        <x:v>4</x:v>
      </x:c>
      <x:c r="K91" s="59" t="n">
        <x:f aca="0">Daily!AE22</x:f>
        <x:v>0</x:v>
      </x:c>
      <x:c r="L91" s="60" t="n">
        <x:f aca="0">IF(COUNTIF(Library!$B$3:$B$58,C91)&lt;&gt;1,"",IF(COUNTIFS(Library!$B$3:$B$58,C91,Library!$E$3:$E$58,"&lt;&gt;")=0,0,INDEX(Library!$E$3:$E$58,MATCH(C91,Library!$B$3:$B$58,0))))</x:f>
        <x:v>0</x:v>
      </x:c>
      <x:c r="M91" s="58" t="n">
        <x:f aca="0">IF(COUNT(J91:L91)&lt;&gt;3,"",MIN(10,J91*(1+K91*L91)))</x:f>
        <x:v>4</x:v>
      </x:c>
      <x:c r="N91" s="58">
        <x:f>E91</x:f>
        <x:v>4</x:v>
      </x:c>
      <x:c r="O91" s="58">
        <x:f>IF(COUNT(M91:N91)&lt;&gt;2,"",M91*N91)</x:f>
        <x:v>16</x:v>
      </x:c>
      <x:c r="P91" s="58"/>
      <x:c r="Q91" s="58"/>
      <x:c r="R91" s="15"/>
      <x:c r="S91" s="15"/>
    </x:row>
    <x:row r="92" ht="24" hidden="0" customHeight="1">
      <x:c r="A92" s="79" t="n">
        <x:f aca="0">Daily!A22</x:f>
        <x:v>46360.5</x:v>
      </x:c>
      <x:c r="B92" s="16" t="str">
        <x:f aca="0">Daily!D22</x:f>
        <x:v>Muscle-up movement + Cal-Intervals</x:v>
      </x:c>
      <x:c r="C92" s="15" t="str">
        <x:v>Cal-Intervals</x:v>
      </x:c>
      <x:c r="D92" s="15" t="str">
        <x:v>rounds</x:v>
      </x:c>
      <x:c r="E92" s="15" t="n">
        <x:v>1</x:v>
      </x:c>
      <x:c r="F92" s="15" t="n">
        <x:v>5</x:v>
      </x:c>
      <x:c r="G92" s="15" t="n">
        <x:v>5</x:v>
      </x:c>
      <x:c r="H92" s="15" t="str">
        <x:f aca="0">IF(AND(Daily!G22=TRUE,ISNUMBER(Daily!AL22),Daily!AL22&gt;0),Daily!AL22,"")</x:f>
      </x:c>
      <x:c r="I92" s="58" t="str">
        <x:f aca="0">IF(ISNUMBER(H92),100*H92/G92,"")</x:f>
      </x:c>
      <x:c r="J92" s="58" t="n">
        <x:f aca="0">SUM(Library!F67:F70)/SUM(Library!E67:E70)</x:f>
        <x:v>5</x:v>
      </x:c>
      <x:c r="K92" s="59"/>
      <x:c r="L92" s="60"/>
      <x:c r="M92" s="58" t="n">
        <x:f aca="0">J92</x:f>
        <x:v>5</x:v>
      </x:c>
      <x:c r="N92" s="58">
        <x:f>G92*COUNT(Library!B67:B70)</x:f>
        <x:v>20</x:v>
      </x:c>
      <x:c r="O92" s="58">
        <x:f>IF(COUNT(M92:N92)&lt;&gt;2,"",M92*N92)</x:f>
        <x:v>100</x:v>
      </x:c>
      <x:c r="P92" s="58"/>
      <x:c r="Q92" s="58"/>
      <x:c r="R92" s="15"/>
      <x:c r="S92" s="15"/>
    </x:row>
    <x:row r="93" ht="24" hidden="0" customHeight="1">
      <x:c r="A93" s="79" t="n">
        <x:f aca="0">Daily!A23</x:f>
        <x:v>46363.5</x:v>
      </x:c>
      <x:c r="B93" s="16" t="str">
        <x:f aca="0">Daily!D23</x:f>
        <x:v>Pull and muscle-up strength</x:v>
      </x:c>
      <x:c r="C93" s="15" t="str">
        <x:v>High pull</x:v>
      </x:c>
      <x:c r="D93" s="15" t="str">
        <x:v>reps</x:v>
      </x:c>
      <x:c r="E93" s="15" t="n">
        <x:v>4</x:v>
      </x:c>
      <x:c r="F93" s="15" t="n">
        <x:v>3</x:v>
      </x:c>
      <x:c r="G93" s="15" t="n">
        <x:f aca="0">E93*F93</x:f>
        <x:v>12</x:v>
      </x:c>
      <x:c r="H93" s="15" t="str">
        <x:f aca="0">IF(AND(Daily!G23=TRUE,COUNT(Daily!H23,Daily!I23,Daily!J23,Daily!K23)&gt;0),SUM(Daily!H23,Daily!I23,Daily!J23,Daily!K23),"")</x:f>
      </x:c>
      <x:c r="I93" s="58" t="str">
        <x:f aca="0">IF(AND(ISNUMBER(H93),G93&gt;0),100*H93/G93,"")</x:f>
      </x:c>
      <x:c r="J93" s="58" t="n">
        <x:f aca="0">IF(COUNTIF(Library!$B$3:$B$58,C93)&lt;&gt;1,"",INDEX(Library!$D$3:$D$58,MATCH(C93,Library!$B$3:$B$58,0)))</x:f>
        <x:v>4</x:v>
      </x:c>
      <x:c r="K93" s="59" t="n">
        <x:f aca="0">Daily!M23</x:f>
        <x:v>0</x:v>
      </x:c>
      <x:c r="L93" s="60" t="n">
        <x:f aca="0">IF(COUNTIF(Library!$B$3:$B$58,C93)&lt;&gt;1,"",IF(COUNTIFS(Library!$B$3:$B$58,C93,Library!$E$3:$E$58,"&lt;&gt;")=0,0,INDEX(Library!$E$3:$E$58,MATCH(C93,Library!$B$3:$B$58,0))))</x:f>
        <x:v>0.04</x:v>
      </x:c>
      <x:c r="M93" s="58" t="n">
        <x:f aca="0">IF(COUNT(J93:L93)&lt;&gt;3,"",MIN(10,J93*(1+K93*L93)))</x:f>
        <x:v>4</x:v>
      </x:c>
      <x:c r="N93" s="58">
        <x:f>E93</x:f>
        <x:v>4</x:v>
      </x:c>
      <x:c r="O93" s="58">
        <x:f>IF(COUNT(M93:N93)&lt;&gt;2,"",M93*N93)</x:f>
        <x:v>16</x:v>
      </x:c>
      <x:c r="P93" s="58">
        <x:f>IF(COUNT(O93:O97)&lt;&gt;COUNT(N93:N97),"",ROUND(SUM(O93:O97)/SUM(N93:N97),1))</x:f>
        <x:v>4</x:v>
      </x:c>
      <x:c r="Q93" s="58" t="str">
        <x:f aca="0">IF(COUNT(I93:I97)=0,"",MEDIAN(I93:I97))</x:f>
      </x:c>
      <x:c r="R93" s="15" t="n">
        <x:f aca="0">COUNT(I93:I97)</x:f>
        <x:v>0</x:v>
      </x:c>
      <x:c r="S93" s="15" t="n">
        <x:v>5</x:v>
      </x:c>
    </x:row>
    <x:row r="94" ht="24" hidden="0" customHeight="1">
      <x:c r="A94" s="79" t="n">
        <x:f aca="0">Daily!A23</x:f>
        <x:v>46363.5</x:v>
      </x:c>
      <x:c r="B94" s="16" t="str">
        <x:f aca="0">Daily!D23</x:f>
        <x:v>Pull and muscle-up strength</x:v>
      </x:c>
      <x:c r="C94" s="15" t="str">
        <x:v>Pull-up</x:v>
      </x:c>
      <x:c r="D94" s="15" t="str">
        <x:v>reps</x:v>
      </x:c>
      <x:c r="E94" s="15" t="n">
        <x:v>4</x:v>
      </x:c>
      <x:c r="F94" s="15" t="n">
        <x:v>6</x:v>
      </x:c>
      <x:c r="G94" s="15" t="n">
        <x:f aca="0">E94*F94</x:f>
        <x:v>24</x:v>
      </x:c>
      <x:c r="H94" s="15" t="str">
        <x:f aca="0">IF(AND(Daily!G23=TRUE,COUNT(Daily!N23,Daily!O23,Daily!P23,Daily!Q23)&gt;0),SUM(Daily!N23,Daily!O23,Daily!P23,Daily!Q23),"")</x:f>
      </x:c>
      <x:c r="I94" s="58" t="str">
        <x:f aca="0">IF(AND(ISNUMBER(H94),G94&gt;0),100*H94/G94,"")</x:f>
      </x:c>
      <x:c r="J94" s="58" t="n">
        <x:f aca="0">IF(COUNTIF(Library!$B$3:$B$58,C94)&lt;&gt;1,"",INDEX(Library!$D$3:$D$58,MATCH(C94,Library!$B$3:$B$58,0)))</x:f>
        <x:v>6</x:v>
      </x:c>
      <x:c r="K94" s="59" t="n">
        <x:f aca="0">Daily!S23</x:f>
        <x:v>0</x:v>
      </x:c>
      <x:c r="L94" s="60" t="n">
        <x:f aca="0">IF(COUNTIF(Library!$B$3:$B$58,C94)&lt;&gt;1,"",IF(COUNTIFS(Library!$B$3:$B$58,C94,Library!$E$3:$E$58,"&lt;&gt;")=0,0,INDEX(Library!$E$3:$E$58,MATCH(C94,Library!$B$3:$B$58,0))))</x:f>
        <x:v>0.04</x:v>
      </x:c>
      <x:c r="M94" s="58" t="n">
        <x:f aca="0">IF(COUNT(J94:L94)&lt;&gt;3,"",MIN(10,J94*(1+K94*L94)))</x:f>
        <x:v>6</x:v>
      </x:c>
      <x:c r="N94" s="58">
        <x:f>E94</x:f>
        <x:v>4</x:v>
      </x:c>
      <x:c r="O94" s="58">
        <x:f>IF(COUNT(M94:N94)&lt;&gt;2,"",M94*N94)</x:f>
        <x:v>24</x:v>
      </x:c>
      <x:c r="P94" s="58"/>
      <x:c r="Q94" s="58"/>
      <x:c r="R94" s="15"/>
      <x:c r="S94" s="15"/>
    </x:row>
    <x:row r="95" ht="24" hidden="0" customHeight="1">
      <x:c r="A95" s="79" t="n">
        <x:f aca="0">Daily!A23</x:f>
        <x:v>46363.5</x:v>
      </x:c>
      <x:c r="B95" s="16" t="str">
        <x:f aca="0">Daily!D23</x:f>
        <x:v>Pull and muscle-up strength</x:v>
      </x:c>
      <x:c r="C95" s="15" t="str">
        <x:v>Parallel-bar dip</x:v>
      </x:c>
      <x:c r="D95" s="15" t="str">
        <x:v>reps</x:v>
      </x:c>
      <x:c r="E95" s="15" t="n">
        <x:v>4</x:v>
      </x:c>
      <x:c r="F95" s="15" t="n">
        <x:v>12</x:v>
      </x:c>
      <x:c r="G95" s="15" t="n">
        <x:f aca="0">E95*F95</x:f>
        <x:v>48</x:v>
      </x:c>
      <x:c r="H95" s="15" t="str">
        <x:f aca="0">IF(AND(Daily!G23=TRUE,COUNT(Daily!T23,Daily!U23,Daily!V23,Daily!W23)&gt;0),SUM(Daily!T23,Daily!U23,Daily!V23,Daily!W23),"")</x:f>
      </x:c>
      <x:c r="I95" s="58" t="str">
        <x:f aca="0">IF(AND(ISNUMBER(H95),G95&gt;0),100*H95/G95,"")</x:f>
      </x:c>
      <x:c r="J95" s="58" t="n">
        <x:f aca="0">IF(COUNTIF(Library!$B$3:$B$58,C95)&lt;&gt;1,"",INDEX(Library!$D$3:$D$58,MATCH(C95,Library!$B$3:$B$58,0)))</x:f>
        <x:v>4</x:v>
      </x:c>
      <x:c r="K95" s="59" t="n">
        <x:f aca="0">Daily!Y23</x:f>
        <x:v>0</x:v>
      </x:c>
      <x:c r="L95" s="60" t="n">
        <x:f aca="0">IF(COUNTIF(Library!$B$3:$B$58,C95)&lt;&gt;1,"",IF(COUNTIFS(Library!$B$3:$B$58,C95,Library!$E$3:$E$58,"&lt;&gt;")=0,0,INDEX(Library!$E$3:$E$58,MATCH(C95,Library!$B$3:$B$58,0))))</x:f>
        <x:v>0.02</x:v>
      </x:c>
      <x:c r="M95" s="58" t="n">
        <x:f aca="0">IF(COUNT(J95:L95)&lt;&gt;3,"",MIN(10,J95*(1+K95*L95)))</x:f>
        <x:v>4</x:v>
      </x:c>
      <x:c r="N95" s="58">
        <x:f>E95</x:f>
        <x:v>4</x:v>
      </x:c>
      <x:c r="O95" s="58">
        <x:f>IF(COUNT(M95:N95)&lt;&gt;2,"",M95*N95)</x:f>
        <x:v>16</x:v>
      </x:c>
      <x:c r="P95" s="58"/>
      <x:c r="Q95" s="58"/>
      <x:c r="R95" s="15"/>
      <x:c r="S95" s="15"/>
    </x:row>
    <x:row r="96" ht="24" hidden="0" customHeight="1">
      <x:c r="A96" s="79" t="n">
        <x:f aca="0">Daily!A23</x:f>
        <x:v>46363.5</x:v>
      </x:c>
      <x:c r="B96" s="16" t="str">
        <x:f aca="0">Daily!D23</x:f>
        <x:v>Pull and muscle-up strength</x:v>
      </x:c>
      <x:c r="C96" s="15" t="str">
        <x:v>Box pistol</x:v>
      </x:c>
      <x:c r="D96" s="15" t="str">
        <x:v>reps/leg</x:v>
      </x:c>
      <x:c r="E96" s="15" t="n">
        <x:v>4</x:v>
      </x:c>
      <x:c r="F96" s="15" t="n">
        <x:v>5</x:v>
      </x:c>
      <x:c r="G96" s="15" t="n">
        <x:f aca="0">E96*F96</x:f>
        <x:v>20</x:v>
      </x:c>
      <x:c r="H96" s="15" t="str">
        <x:f aca="0">IF(AND(Daily!G23=TRUE,COUNT(Daily!Z23,Daily!AA23,Daily!AB23,Daily!AC23)&gt;0),SUM(Daily!Z23,Daily!AA23,Daily!AB23,Daily!AC23),"")</x:f>
      </x:c>
      <x:c r="I96" s="58" t="str">
        <x:f aca="0">IF(AND(ISNUMBER(H96),G96&gt;0),100*H96/G96,"")</x:f>
      </x:c>
      <x:c r="J96" s="58" t="n">
        <x:f aca="0">IF(COUNTIF(Library!$B$3:$B$58,C96)&lt;&gt;1,"",INDEX(Library!$D$3:$D$58,MATCH(C96,Library!$B$3:$B$58,0)))</x:f>
        <x:v>2</x:v>
      </x:c>
      <x:c r="K96" s="59" t="n">
        <x:f aca="0">Daily!AE23</x:f>
        <x:v>0</x:v>
      </x:c>
      <x:c r="L96" s="60" t="n">
        <x:f aca="0">IF(COUNTIF(Library!$B$3:$B$58,C96)&lt;&gt;1,"",IF(COUNTIFS(Library!$B$3:$B$58,C96,Library!$E$3:$E$58,"&lt;&gt;")=0,0,INDEX(Library!$E$3:$E$58,MATCH(C96,Library!$B$3:$B$58,0))))</x:f>
        <x:v>0.03</x:v>
      </x:c>
      <x:c r="M96" s="58" t="n">
        <x:f aca="0">IF(COUNT(J96:L96)&lt;&gt;3,"",MIN(10,J96*(1+K96*L96)))</x:f>
        <x:v>2</x:v>
      </x:c>
      <x:c r="N96" s="58">
        <x:f>E96</x:f>
        <x:v>4</x:v>
      </x:c>
      <x:c r="O96" s="58">
        <x:f>IF(COUNT(M96:N96)&lt;&gt;2,"",M96*N96)</x:f>
        <x:v>8</x:v>
      </x:c>
      <x:c r="P96" s="58"/>
      <x:c r="Q96" s="58"/>
      <x:c r="R96" s="15"/>
      <x:c r="S96" s="15"/>
    </x:row>
    <x:row r="97" ht="24" hidden="0" customHeight="1">
      <x:c r="A97" s="79" t="n">
        <x:f aca="0">Daily!A23</x:f>
        <x:v>46363.5</x:v>
      </x:c>
      <x:c r="B97" s="16" t="str">
        <x:f aca="0">Daily!D23</x:f>
        <x:v>Pull and muscle-up strength</x:v>
      </x:c>
      <x:c r="C97" s="15" t="str">
        <x:v>Sliding hamstring curl</x:v>
      </x:c>
      <x:c r="D97" s="15" t="str">
        <x:v>reps</x:v>
      </x:c>
      <x:c r="E97" s="15" t="n">
        <x:v>3</x:v>
      </x:c>
      <x:c r="F97" s="15" t="n">
        <x:v>10</x:v>
      </x:c>
      <x:c r="G97" s="15" t="n">
        <x:f aca="0">E97*F97</x:f>
        <x:v>30</x:v>
      </x:c>
      <x:c r="H97" s="15" t="str">
        <x:f aca="0">IF(AND(Daily!G23=TRUE,COUNT(Daily!AF23,Daily!AG23,Daily!AH23)&gt;0),SUM(Daily!AF23,Daily!AG23,Daily!AH23),"")</x:f>
      </x:c>
      <x:c r="I97" s="58" t="str">
        <x:f aca="0">IF(AND(ISNUMBER(H97),G97&gt;0),100*H97/G97,"")</x:f>
      </x:c>
      <x:c r="J97" s="58" t="n">
        <x:f aca="0">IF(COUNTIF(Library!$B$3:$B$58,C97)&lt;&gt;1,"",INDEX(Library!$D$3:$D$58,MATCH(C97,Library!$B$3:$B$58,0)))</x:f>
        <x:v>4</x:v>
      </x:c>
      <x:c r="K97" s="59" t="n">
        <x:f aca="0">Daily!AK23</x:f>
        <x:v>0</x:v>
      </x:c>
      <x:c r="L97" s="60" t="n">
        <x:f aca="0">IF(COUNTIF(Library!$B$3:$B$58,C97)&lt;&gt;1,"",IF(COUNTIFS(Library!$B$3:$B$58,C97,Library!$E$3:$E$58,"&lt;&gt;")=0,0,INDEX(Library!$E$3:$E$58,MATCH(C97,Library!$B$3:$B$58,0))))</x:f>
        <x:v>0</x:v>
      </x:c>
      <x:c r="M97" s="58" t="n">
        <x:f aca="0">IF(COUNT(J97:L97)&lt;&gt;3,"",MIN(10,J97*(1+K97*L97)))</x:f>
        <x:v>4</x:v>
      </x:c>
      <x:c r="N97" s="58">
        <x:f>E97</x:f>
        <x:v>3</x:v>
      </x:c>
      <x:c r="O97" s="58">
        <x:f>IF(COUNT(M97:N97)&lt;&gt;2,"",M97*N97)</x:f>
        <x:v>12</x:v>
      </x:c>
      <x:c r="P97" s="58"/>
      <x:c r="Q97" s="58"/>
      <x:c r="R97" s="15"/>
      <x:c r="S97" s="15"/>
    </x:row>
    <x:row r="98" ht="24" hidden="0" customHeight="1">
      <x:c r="A98" s="79" t="n">
        <x:f aca="0">Daily!A24</x:f>
        <x:v>46364.5</x:v>
      </x:c>
      <x:c r="B98" s="16" t="str">
        <x:f aca="0">Daily!D24</x:f>
        <x:v>Optional movement practice</x:v>
      </x:c>
      <x:c r="C98" s="15" t="str">
        <x:v>Wrist/shoulder mobility</x:v>
      </x:c>
      <x:c r="D98" s="15" t="str">
        <x:v>seconds</x:v>
      </x:c>
      <x:c r="E98" s="15" t="n">
        <x:v>1</x:v>
      </x:c>
      <x:c r="F98" s="15" t="n">
        <x:v>120</x:v>
      </x:c>
      <x:c r="G98" s="15" t="n">
        <x:f aca="0">E98*F98</x:f>
        <x:v>120</x:v>
      </x:c>
      <x:c r="H98" s="15" t="str">
        <x:f aca="0">IF(AND(Daily!G24=TRUE,COUNT(Daily!H24)&gt;0),SUM(Daily!H24)*86400,"")</x:f>
      </x:c>
      <x:c r="I98" s="58" t="str">
        <x:f aca="0">IF(AND(ISNUMBER(H98),G98&gt;0),100*H98/G98,"")</x:f>
      </x:c>
      <x:c r="J98" s="58" t="n">
        <x:f aca="0">IF(COUNTIF(Library!$B$3:$B$58,C98)&lt;&gt;1,"",INDEX(Library!$D$3:$D$58,MATCH(C98,Library!$B$3:$B$58,0)))</x:f>
        <x:v>1</x:v>
      </x:c>
      <x:c r="K98" s="59" t="n">
        <x:f aca="0">Daily!M24</x:f>
        <x:v>0</x:v>
      </x:c>
      <x:c r="L98" s="60" t="n">
        <x:f aca="0">IF(COUNTIF(Library!$B$3:$B$58,C98)&lt;&gt;1,"",IF(COUNTIFS(Library!$B$3:$B$58,C98,Library!$E$3:$E$58,"&lt;&gt;")=0,0,INDEX(Library!$E$3:$E$58,MATCH(C98,Library!$B$3:$B$58,0))))</x:f>
        <x:v>0</x:v>
      </x:c>
      <x:c r="M98" s="58" t="n">
        <x:f aca="0">IF(COUNT(J98:L98)&lt;&gt;3,"",MIN(10,J98*(1+K98*L98)))</x:f>
        <x:v>1</x:v>
      </x:c>
      <x:c r="N98" s="58">
        <x:f>E98</x:f>
        <x:v>1</x:v>
      </x:c>
      <x:c r="O98" s="58">
        <x:f>IF(COUNT(M98:N98)&lt;&gt;2,"",M98*N98)</x:f>
        <x:v>1</x:v>
      </x:c>
      <x:c r="P98" s="58">
        <x:f>IF(COUNT(O98:O100)&lt;&gt;COUNT(N98:N100),"",ROUND(SUM(O98:O100)/SUM(N98:N100),1))</x:f>
        <x:v>1</x:v>
      </x:c>
      <x:c r="Q98" s="58" t="str">
        <x:f>IF(COUNT(I98:I100)=0,"",MEDIAN(I98:I100))</x:f>
      </x:c>
      <x:c r="R98" s="15" t="n">
        <x:f>COUNT(I98:I100)</x:f>
        <x:v>0</x:v>
      </x:c>
      <x:c r="S98" s="15" t="n">
        <x:v>3</x:v>
      </x:c>
    </x:row>
    <x:row r="99" ht="24" hidden="0" customHeight="1">
      <x:c r="A99" s="79" t="n">
        <x:f aca="0">Daily!A24</x:f>
        <x:v>46364.5</x:v>
      </x:c>
      <x:c r="B99" s="16" t="str">
        <x:f aca="0">Daily!D24</x:f>
        <x:v>Optional movement practice</x:v>
      </x:c>
      <x:c r="C99" s="15" t="str">
        <x:v>Easy handstand walk</x:v>
      </x:c>
      <x:c r="D99" s="15" t="str">
        <x:v>m</x:v>
      </x:c>
      <x:c r="E99" s="15" t="n">
        <x:v>3</x:v>
      </x:c>
      <x:c r="F99" s="15" t="n">
        <x:v>2</x:v>
      </x:c>
      <x:c r="G99" s="15" t="n">
        <x:f aca="0">E99*F99</x:f>
        <x:v>6</x:v>
      </x:c>
      <x:c r="H99" s="15" t="str">
        <x:f aca="0">IF(AND(Daily!G24=TRUE,COUNT(Daily!N24,Daily!O24,Daily!P24)&gt;0),SUM(Daily!N24,Daily!O24,Daily!P24),"")</x:f>
      </x:c>
      <x:c r="I99" s="58" t="str">
        <x:f aca="0">IF(AND(ISNUMBER(H99),G99&gt;0),100*H99/G99,"")</x:f>
      </x:c>
      <x:c r="J99" s="58" t="n">
        <x:f aca="0">IF(COUNTIF(Library!$B$3:$B$58,C99)&lt;&gt;1,"",INDEX(Library!$D$3:$D$58,MATCH(C99,Library!$B$3:$B$58,0)))</x:f>
        <x:v>1</x:v>
      </x:c>
      <x:c r="K99" s="59" t="n">
        <x:f aca="0">Daily!S24</x:f>
        <x:v>0</x:v>
      </x:c>
      <x:c r="L99" s="60" t="n">
        <x:f aca="0">IF(COUNTIF(Library!$B$3:$B$58,C99)&lt;&gt;1,"",IF(COUNTIFS(Library!$B$3:$B$58,C99,Library!$E$3:$E$58,"&lt;&gt;")=0,0,INDEX(Library!$E$3:$E$58,MATCH(C99,Library!$B$3:$B$58,0))))</x:f>
        <x:v>0</x:v>
      </x:c>
      <x:c r="M99" s="58" t="n">
        <x:f aca="0">IF(COUNT(J99:L99)&lt;&gt;3,"",MIN(10,J99*(1+K99*L99)))</x:f>
        <x:v>1</x:v>
      </x:c>
      <x:c r="N99" s="58">
        <x:f>E99</x:f>
        <x:v>3</x:v>
      </x:c>
      <x:c r="O99" s="58">
        <x:f>IF(COUNT(M99:N99)&lt;&gt;2,"",M99*N99)</x:f>
        <x:v>3</x:v>
      </x:c>
      <x:c r="P99" s="58"/>
      <x:c r="Q99" s="58"/>
      <x:c r="R99" s="15"/>
      <x:c r="S99" s="15"/>
    </x:row>
    <x:row r="100" ht="24" hidden="0" customHeight="1">
      <x:c r="A100" s="79" t="n">
        <x:f aca="0">Daily!A24</x:f>
        <x:v>46364.5</x:v>
      </x:c>
      <x:c r="B100" s="16" t="str">
        <x:f aca="0">Daily!D24</x:f>
        <x:v>Optional movement practice</x:v>
      </x:c>
      <x:c r="C100" s="15" t="str">
        <x:v>Easy bear crawl</x:v>
      </x:c>
      <x:c r="D100" s="15" t="str">
        <x:v>seconds</x:v>
      </x:c>
      <x:c r="E100" s="15" t="n">
        <x:v>3</x:v>
      </x:c>
      <x:c r="F100" s="15" t="n">
        <x:v>20</x:v>
      </x:c>
      <x:c r="G100" s="15" t="n">
        <x:f aca="0">E100*F100</x:f>
        <x:v>60</x:v>
      </x:c>
      <x:c r="H100" s="15" t="str">
        <x:f aca="0">IF(AND(Daily!G24=TRUE,COUNT(Daily!T24,Daily!U24,Daily!V24)&gt;0),SUM(Daily!T24,Daily!U24,Daily!V24)*86400,"")</x:f>
      </x:c>
      <x:c r="I100" s="58" t="str">
        <x:f aca="0">IF(AND(ISNUMBER(H100),G100&gt;0),100*H100/G100,"")</x:f>
      </x:c>
      <x:c r="J100" s="58" t="n">
        <x:f aca="0">IF(COUNTIF(Library!$B$3:$B$58,C100)&lt;&gt;1,"",INDEX(Library!$D$3:$D$58,MATCH(C100,Library!$B$3:$B$58,0)))</x:f>
        <x:v>1</x:v>
      </x:c>
      <x:c r="K100" s="59" t="n">
        <x:f aca="0">Daily!Y24</x:f>
        <x:v>0</x:v>
      </x:c>
      <x:c r="L100" s="60" t="n">
        <x:f aca="0">IF(COUNTIF(Library!$B$3:$B$58,C100)&lt;&gt;1,"",IF(COUNTIFS(Library!$B$3:$B$58,C100,Library!$E$3:$E$58,"&lt;&gt;")=0,0,INDEX(Library!$E$3:$E$58,MATCH(C100,Library!$B$3:$B$58,0))))</x:f>
        <x:v>0</x:v>
      </x:c>
      <x:c r="M100" s="58" t="n">
        <x:f aca="0">IF(COUNT(J100:L100)&lt;&gt;3,"",MIN(10,J100*(1+K100*L100)))</x:f>
        <x:v>1</x:v>
      </x:c>
      <x:c r="N100" s="58">
        <x:f>E100</x:f>
        <x:v>3</x:v>
      </x:c>
      <x:c r="O100" s="58">
        <x:f>IF(COUNT(M100:N100)&lt;&gt;2,"",M100*N100)</x:f>
        <x:v>3</x:v>
      </x:c>
      <x:c r="P100" s="58"/>
      <x:c r="Q100" s="58"/>
      <x:c r="R100" s="15"/>
      <x:c r="S100" s="15"/>
    </x:row>
    <x:row r="101" ht="24" hidden="0" customHeight="1">
      <x:c r="A101" s="79" t="n">
        <x:f aca="0">Daily!A25</x:f>
        <x:v>46365.5</x:v>
      </x:c>
      <x:c r="B101" s="16" t="str">
        <x:f aca="0">Daily!D25</x:f>
        <x:v>Handstand movement and strength</x:v>
      </x:c>
      <x:c r="C101" s="15" t="str">
        <x:v>Handstand walk</x:v>
      </x:c>
      <x:c r="D101" s="15" t="str">
        <x:v>m</x:v>
      </x:c>
      <x:c r="E101" s="15" t="n">
        <x:v>3</x:v>
      </x:c>
      <x:c r="F101" s="15" t="n">
        <x:v>3</x:v>
      </x:c>
      <x:c r="G101" s="15" t="n">
        <x:f aca="0">E101*F101</x:f>
        <x:v>9</x:v>
      </x:c>
      <x:c r="H101" s="15" t="str">
        <x:f aca="0">IF(AND(Daily!G25=TRUE,COUNT(Daily!H25,Daily!I25,Daily!J25)&gt;0),SUM(Daily!H25,Daily!I25,Daily!J25),"")</x:f>
      </x:c>
      <x:c r="I101" s="58" t="str">
        <x:f aca="0">IF(AND(ISNUMBER(H101),G101&gt;0),100*H101/G101,"")</x:f>
      </x:c>
      <x:c r="J101" s="58" t="n">
        <x:f aca="0">IF(COUNTIF(Library!$B$3:$B$58,C101)&lt;&gt;1,"",INDEX(Library!$D$3:$D$58,MATCH(C101,Library!$B$3:$B$58,0)))</x:f>
        <x:v>3</x:v>
      </x:c>
      <x:c r="K101" s="59" t="n">
        <x:f aca="0">Daily!M25</x:f>
        <x:v>0</x:v>
      </x:c>
      <x:c r="L101" s="60" t="n">
        <x:f aca="0">IF(COUNTIF(Library!$B$3:$B$58,C101)&lt;&gt;1,"",IF(COUNTIFS(Library!$B$3:$B$58,C101,Library!$E$3:$E$58,"&lt;&gt;")=0,0,INDEX(Library!$E$3:$E$58,MATCH(C101,Library!$B$3:$B$58,0))))</x:f>
        <x:v>0</x:v>
      </x:c>
      <x:c r="M101" s="58" t="n">
        <x:f aca="0">IF(COUNT(J101:L101)&lt;&gt;3,"",MIN(10,J101*(1+K101*L101)))</x:f>
        <x:v>3</x:v>
      </x:c>
      <x:c r="N101" s="58">
        <x:f>E101</x:f>
        <x:v>3</x:v>
      </x:c>
      <x:c r="O101" s="58">
        <x:f>IF(COUNT(M101:N101)&lt;&gt;2,"",M101*N101)</x:f>
        <x:v>9</x:v>
      </x:c>
      <x:c r="P101" s="58">
        <x:f>IF(COUNT(O101:O105)&lt;&gt;COUNT(N101:N105),"",ROUND(SUM(O101:O105)/SUM(N101:N105),1))</x:f>
        <x:v>3.8</x:v>
      </x:c>
      <x:c r="Q101" s="58" t="str">
        <x:f aca="0">IF(COUNT(I101:I105)=0,"",MEDIAN(I101:I105))</x:f>
      </x:c>
      <x:c r="R101" s="15" t="n">
        <x:f aca="0">COUNT(I101:I105)</x:f>
        <x:v>0</x:v>
      </x:c>
      <x:c r="S101" s="15" t="n">
        <x:v>5</x:v>
      </x:c>
    </x:row>
    <x:row r="102" ht="24" hidden="0" customHeight="1">
      <x:c r="A102" s="79" t="n">
        <x:f aca="0">Daily!A25</x:f>
        <x:v>46365.5</x:v>
      </x:c>
      <x:c r="B102" s="16" t="str">
        <x:f aca="0">Daily!D25</x:f>
        <x:v>Handstand movement and strength</x:v>
      </x:c>
      <x:c r="C102" s="15" t="str">
        <x:v>Elevated pike push-up</x:v>
      </x:c>
      <x:c r="D102" s="15" t="str">
        <x:v>reps</x:v>
      </x:c>
      <x:c r="E102" s="15" t="n">
        <x:v>4</x:v>
      </x:c>
      <x:c r="F102" s="15" t="n">
        <x:v>8</x:v>
      </x:c>
      <x:c r="G102" s="15" t="n">
        <x:f aca="0">E102*F102</x:f>
        <x:v>32</x:v>
      </x:c>
      <x:c r="H102" s="15" t="str">
        <x:f aca="0">IF(AND(Daily!G25=TRUE,COUNT(Daily!N25,Daily!O25,Daily!P25,Daily!Q25)&gt;0),SUM(Daily!N25,Daily!O25,Daily!P25,Daily!Q25),"")</x:f>
      </x:c>
      <x:c r="I102" s="58" t="str">
        <x:f aca="0">IF(AND(ISNUMBER(H102),G102&gt;0),100*H102/G102,"")</x:f>
      </x:c>
      <x:c r="J102" s="58" t="n">
        <x:f aca="0">IF(COUNTIF(Library!$B$3:$B$58,C102)&lt;&gt;1,"",INDEX(Library!$D$3:$D$58,MATCH(C102,Library!$B$3:$B$58,0)))</x:f>
        <x:v>4</x:v>
      </x:c>
      <x:c r="K102" s="59" t="n">
        <x:f aca="0">Daily!S25</x:f>
        <x:v>0</x:v>
      </x:c>
      <x:c r="L102" s="60" t="n">
        <x:f aca="0">IF(COUNTIF(Library!$B$3:$B$58,C102)&lt;&gt;1,"",IF(COUNTIFS(Library!$B$3:$B$58,C102,Library!$E$3:$E$58,"&lt;&gt;")=0,0,INDEX(Library!$E$3:$E$58,MATCH(C102,Library!$B$3:$B$58,0))))</x:f>
        <x:v>0</x:v>
      </x:c>
      <x:c r="M102" s="58" t="n">
        <x:f aca="0">IF(COUNT(J102:L102)&lt;&gt;3,"",MIN(10,J102*(1+K102*L102)))</x:f>
        <x:v>4</x:v>
      </x:c>
      <x:c r="N102" s="58">
        <x:f>E102</x:f>
        <x:v>4</x:v>
      </x:c>
      <x:c r="O102" s="58">
        <x:f>IF(COUNT(M102:N102)&lt;&gt;2,"",M102*N102)</x:f>
        <x:v>16</x:v>
      </x:c>
      <x:c r="P102" s="58"/>
      <x:c r="Q102" s="58"/>
      <x:c r="R102" s="15"/>
      <x:c r="S102" s="15"/>
    </x:row>
    <x:row r="103" ht="24" hidden="0" customHeight="1">
      <x:c r="A103" s="79" t="n">
        <x:f aca="0">Daily!A25</x:f>
        <x:v>46365.5</x:v>
      </x:c>
      <x:c r="B103" s="16" t="str">
        <x:f aca="0">Daily!D25</x:f>
        <x:v>Handstand movement and strength</x:v>
      </x:c>
      <x:c r="C103" s="15" t="str">
        <x:v>Pull-up</x:v>
      </x:c>
      <x:c r="D103" s="15" t="str">
        <x:v>reps</x:v>
      </x:c>
      <x:c r="E103" s="15" t="n">
        <x:v>4</x:v>
      </x:c>
      <x:c r="F103" s="15" t="n">
        <x:v>6</x:v>
      </x:c>
      <x:c r="G103" s="15" t="n">
        <x:f aca="0">E103*F103</x:f>
        <x:v>24</x:v>
      </x:c>
      <x:c r="H103" s="15" t="str">
        <x:f aca="0">IF(AND(Daily!G25=TRUE,COUNT(Daily!T25,Daily!U25,Daily!V25,Daily!W25)&gt;0),SUM(Daily!T25,Daily!U25,Daily!V25,Daily!W25),"")</x:f>
      </x:c>
      <x:c r="I103" s="58" t="str">
        <x:f aca="0">IF(AND(ISNUMBER(H103),G103&gt;0),100*H103/G103,"")</x:f>
      </x:c>
      <x:c r="J103" s="58" t="n">
        <x:f aca="0">IF(COUNTIF(Library!$B$3:$B$58,C103)&lt;&gt;1,"",INDEX(Library!$D$3:$D$58,MATCH(C103,Library!$B$3:$B$58,0)))</x:f>
        <x:v>6</x:v>
      </x:c>
      <x:c r="K103" s="59" t="n">
        <x:f aca="0">Daily!Y25</x:f>
        <x:v>0</x:v>
      </x:c>
      <x:c r="L103" s="60" t="n">
        <x:f aca="0">IF(COUNTIF(Library!$B$3:$B$58,C103)&lt;&gt;1,"",IF(COUNTIFS(Library!$B$3:$B$58,C103,Library!$E$3:$E$58,"&lt;&gt;")=0,0,INDEX(Library!$E$3:$E$58,MATCH(C103,Library!$B$3:$B$58,0))))</x:f>
        <x:v>0.04</x:v>
      </x:c>
      <x:c r="M103" s="58" t="n">
        <x:f aca="0">IF(COUNT(J103:L103)&lt;&gt;3,"",MIN(10,J103*(1+K103*L103)))</x:f>
        <x:v>6</x:v>
      </x:c>
      <x:c r="N103" s="58">
        <x:f>E103</x:f>
        <x:v>4</x:v>
      </x:c>
      <x:c r="O103" s="58">
        <x:f>IF(COUNT(M103:N103)&lt;&gt;2,"",M103*N103)</x:f>
        <x:v>24</x:v>
      </x:c>
      <x:c r="P103" s="58"/>
      <x:c r="Q103" s="58"/>
      <x:c r="R103" s="15"/>
      <x:c r="S103" s="15"/>
    </x:row>
    <x:row r="104" ht="24" hidden="0" customHeight="1">
      <x:c r="A104" s="79" t="n">
        <x:f aca="0">Daily!A25</x:f>
        <x:v>46365.5</x:v>
      </x:c>
      <x:c r="B104" s="16" t="str">
        <x:f aca="0">Daily!D25</x:f>
        <x:v>Handstand movement and strength</x:v>
      </x:c>
      <x:c r="C104" s="15" t="str">
        <x:v>Box pistol</x:v>
      </x:c>
      <x:c r="D104" s="15" t="str">
        <x:v>reps/leg</x:v>
      </x:c>
      <x:c r="E104" s="15" t="n">
        <x:v>4</x:v>
      </x:c>
      <x:c r="F104" s="15" t="n">
        <x:v>5</x:v>
      </x:c>
      <x:c r="G104" s="15" t="n">
        <x:f>E104*F104</x:f>
        <x:v>20</x:v>
      </x:c>
      <x:c r="H104" s="15" t="str">
        <x:f aca="0">IF(AND(Daily!G25=TRUE,COUNT(Daily!Z25,Daily!AA25,Daily!AB25,Daily!AC25)&gt;0),SUM(Daily!Z25,Daily!AA25,Daily!AB25,Daily!AC25),"")</x:f>
      </x:c>
      <x:c r="I104" s="58" t="str">
        <x:f aca="0">IF(AND(ISNUMBER(H104),G104&gt;0),100*H104/G104,"")</x:f>
      </x:c>
      <x:c r="J104" s="58" t="n">
        <x:f aca="0">IF(COUNTIF(Library!$B$3:$B$58,C104)&lt;&gt;1,"",INDEX(Library!$D$3:$D$58,MATCH(C104,Library!$B$3:$B$58,0)))</x:f>
        <x:v>2</x:v>
      </x:c>
      <x:c r="K104" s="59" t="n">
        <x:f>Daily!AE25</x:f>
        <x:v>0</x:v>
      </x:c>
      <x:c r="L104" s="60" t="n">
        <x:f>IF(COUNTIF(Library!$B$3:$B$58,C104)&lt;&gt;1,"",IF(COUNTIFS(Library!$B$3:$B$58,C104,Library!$E$3:$E$58,"&lt;&gt;")=0,0,INDEX(Library!$E$3:$E$58,MATCH(C104,Library!$B$3:$B$58,0))))</x:f>
        <x:v>0.03</x:v>
      </x:c>
      <x:c r="M104" s="58" t="n">
        <x:f aca="0">IF(COUNT(J104:L104)&lt;&gt;3,"",MIN(10,J104*(1+K104*L104)))</x:f>
        <x:v>2</x:v>
      </x:c>
      <x:c r="N104" s="58">
        <x:f>E104</x:f>
        <x:v>4</x:v>
      </x:c>
      <x:c r="O104" s="58">
        <x:f>IF(COUNT(M104:N104)&lt;&gt;2,"",M104*N104)</x:f>
        <x:v>8</x:v>
      </x:c>
      <x:c r="P104" s="58"/>
      <x:c r="Q104" s="58"/>
      <x:c r="R104" s="15"/>
      <x:c r="S104" s="15"/>
    </x:row>
    <x:row r="105" ht="24" hidden="0" customHeight="1">
      <x:c r="A105" s="79" t="n">
        <x:f aca="0">Daily!A25</x:f>
        <x:v>46365.5</x:v>
      </x:c>
      <x:c r="B105" s="16" t="str">
        <x:f aca="0">Daily!D25</x:f>
        <x:v>Handstand movement and strength</x:v>
      </x:c>
      <x:c r="C105" s="15" t="str">
        <x:v>Bar row</x:v>
      </x:c>
      <x:c r="D105" s="15" t="str">
        <x:v>reps</x:v>
      </x:c>
      <x:c r="E105" s="15" t="n">
        <x:v>4</x:v>
      </x:c>
      <x:c r="F105" s="15" t="n">
        <x:v>12</x:v>
      </x:c>
      <x:c r="G105" s="15" t="n">
        <x:f aca="0">E105*F105</x:f>
        <x:v>48</x:v>
      </x:c>
      <x:c r="H105" s="15" t="str">
        <x:f aca="0">IF(AND(Daily!G25=TRUE,COUNT(Daily!AF25,Daily!AG25,Daily!AH25,Daily!AI25)&gt;0),SUM(Daily!AF25,Daily!AG25,Daily!AH25,Daily!AI25),"")</x:f>
      </x:c>
      <x:c r="I105" s="58" t="str">
        <x:f aca="0">IF(AND(ISNUMBER(H105),G105&gt;0),100*H105/G105,"")</x:f>
      </x:c>
      <x:c r="J105" s="58" t="n">
        <x:f aca="0">IF(COUNTIF(Library!$B$3:$B$58,C105)&lt;&gt;1,"",INDEX(Library!$D$3:$D$58,MATCH(C105,Library!$B$3:$B$58,0)))</x:f>
        <x:v>4</x:v>
      </x:c>
      <x:c r="K105" s="59" t="n">
        <x:f aca="0">Daily!AK25</x:f>
        <x:v>0</x:v>
      </x:c>
      <x:c r="L105" s="60" t="n">
        <x:f aca="0">IF(COUNTIF(Library!$B$3:$B$58,C105)&lt;&gt;1,"",IF(COUNTIFS(Library!$B$3:$B$58,C105,Library!$E$3:$E$58,"&lt;&gt;")=0,0,INDEX(Library!$E$3:$E$58,MATCH(C105,Library!$B$3:$B$58,0))))</x:f>
        <x:v>0.04</x:v>
      </x:c>
      <x:c r="M105" s="58" t="n">
        <x:f aca="0">IF(COUNT(J105:L105)&lt;&gt;3,"",MIN(10,J105*(1+K105*L105)))</x:f>
        <x:v>4</x:v>
      </x:c>
      <x:c r="N105" s="58">
        <x:f>E105</x:f>
        <x:v>4</x:v>
      </x:c>
      <x:c r="O105" s="58">
        <x:f>IF(COUNT(M105:N105)&lt;&gt;2,"",M105*N105)</x:f>
        <x:v>16</x:v>
      </x:c>
      <x:c r="P105" s="58"/>
      <x:c r="Q105" s="58"/>
      <x:c r="R105" s="15"/>
      <x:c r="S105" s="15"/>
    </x:row>
    <x:row r="106" ht="24" hidden="0" customHeight="1">
      <x:c r="A106" s="79" t="n">
        <x:f aca="0">Daily!A26</x:f>
        <x:v>46367.5</x:v>
      </x:c>
      <x:c r="B106" s="16" t="str">
        <x:f aca="0">Daily!D26</x:f>
        <x:v>Muscle-up movement + Cal-Intervals</x:v>
      </x:c>
      <x:c r="C106" s="15" t="str">
        <x:v>Low-bar transition</x:v>
      </x:c>
      <x:c r="D106" s="15" t="str">
        <x:v>reps</x:v>
      </x:c>
      <x:c r="E106" s="15" t="n">
        <x:v>4</x:v>
      </x:c>
      <x:c r="F106" s="15" t="n">
        <x:v>3</x:v>
      </x:c>
      <x:c r="G106" s="15" t="n">
        <x:f aca="0">E106*F106</x:f>
        <x:v>12</x:v>
      </x:c>
      <x:c r="H106" s="15" t="str">
        <x:f aca="0">IF(AND(Daily!G26=TRUE,COUNT(Daily!H26,Daily!I26,Daily!J26,Daily!K26)&gt;0),SUM(Daily!H26,Daily!I26,Daily!J26,Daily!K26),"")</x:f>
      </x:c>
      <x:c r="I106" s="58" t="str">
        <x:f aca="0">IF(AND(ISNUMBER(H106),G106&gt;0),100*H106/G106,"")</x:f>
      </x:c>
      <x:c r="J106" s="58" t="n">
        <x:f aca="0">IF(COUNTIF(Library!$B$3:$B$58,C106)&lt;&gt;1,"",INDEX(Library!$D$3:$D$58,MATCH(C106,Library!$B$3:$B$58,0)))</x:f>
        <x:v>4</x:v>
      </x:c>
      <x:c r="K106" s="59" t="n">
        <x:f aca="0">Daily!M26</x:f>
        <x:v>0</x:v>
      </x:c>
      <x:c r="L106" s="60" t="n">
        <x:f aca="0">IF(COUNTIF(Library!$B$3:$B$58,C106)&lt;&gt;1,"",IF(COUNTIFS(Library!$B$3:$B$58,C106,Library!$E$3:$E$58,"&lt;&gt;")=0,0,INDEX(Library!$E$3:$E$58,MATCH(C106,Library!$B$3:$B$58,0))))</x:f>
        <x:v>0</x:v>
      </x:c>
      <x:c r="M106" s="58" t="n">
        <x:f aca="0">IF(COUNT(J106:L106)&lt;&gt;3,"",MIN(10,J106*(1+K106*L106)))</x:f>
        <x:v>4</x:v>
      </x:c>
      <x:c r="N106" s="58">
        <x:f>E106</x:f>
        <x:v>4</x:v>
      </x:c>
      <x:c r="O106" s="58">
        <x:f>IF(COUNT(M106:N106)&lt;&gt;2,"",M106*N106)</x:f>
        <x:v>16</x:v>
      </x:c>
      <x:c r="P106" s="58">
        <x:f>IF(COUNT(O106:O110)&lt;&gt;COUNT(N106:N110),"",ROUND(SUM(O106:O110)/SUM(N106:N110),1))</x:f>
        <x:v>4.4</x:v>
      </x:c>
      <x:c r="Q106" s="58" t="str">
        <x:f>IF(COUNT(I106:I110)=0,"",MEDIAN(I106:I110))</x:f>
      </x:c>
      <x:c r="R106" s="15" t="n">
        <x:f>COUNT(I106:I110)</x:f>
        <x:v>0</x:v>
      </x:c>
      <x:c r="S106" s="15" t="n">
        <x:v>5</x:v>
      </x:c>
    </x:row>
    <x:row r="107" ht="24" hidden="0" customHeight="1">
      <x:c r="A107" s="79" t="n">
        <x:f aca="0">Daily!A26</x:f>
        <x:v>46367.5</x:v>
      </x:c>
      <x:c r="B107" s="16" t="str">
        <x:f aca="0">Daily!D26</x:f>
        <x:v>Muscle-up movement + Cal-Intervals</x:v>
      </x:c>
      <x:c r="C107" s="15" t="str">
        <x:v>Handstand walk</x:v>
      </x:c>
      <x:c r="D107" s="15" t="str">
        <x:v>m</x:v>
      </x:c>
      <x:c r="E107" s="15" t="n">
        <x:v>4</x:v>
      </x:c>
      <x:c r="F107" s="15" t="n">
        <x:v>3</x:v>
      </x:c>
      <x:c r="G107" s="15" t="n">
        <x:f aca="0">E107*F107</x:f>
        <x:v>12</x:v>
      </x:c>
      <x:c r="H107" s="15" t="str">
        <x:f aca="0">IF(AND(Daily!G26=TRUE,COUNT(Daily!N26,Daily!O26,Daily!P26,Daily!Q26)&gt;0),SUM(Daily!N26,Daily!O26,Daily!P26,Daily!Q26),"")</x:f>
      </x:c>
      <x:c r="I107" s="58" t="str">
        <x:f aca="0">IF(AND(ISNUMBER(H107),G107&gt;0),100*H107/G107,"")</x:f>
      </x:c>
      <x:c r="J107" s="58" t="n">
        <x:f aca="0">IF(COUNTIF(Library!$B$3:$B$58,C107)&lt;&gt;1,"",INDEX(Library!$D$3:$D$58,MATCH(C107,Library!$B$3:$B$58,0)))</x:f>
        <x:v>3</x:v>
      </x:c>
      <x:c r="K107" s="59" t="n">
        <x:f aca="0">Daily!S26</x:f>
        <x:v>0</x:v>
      </x:c>
      <x:c r="L107" s="60" t="n">
        <x:f aca="0">IF(COUNTIF(Library!$B$3:$B$58,C107)&lt;&gt;1,"",IF(COUNTIFS(Library!$B$3:$B$58,C107,Library!$E$3:$E$58,"&lt;&gt;")=0,0,INDEX(Library!$E$3:$E$58,MATCH(C107,Library!$B$3:$B$58,0))))</x:f>
        <x:v>0</x:v>
      </x:c>
      <x:c r="M107" s="58" t="n">
        <x:f aca="0">IF(COUNT(J107:L107)&lt;&gt;3,"",MIN(10,J107*(1+K107*L107)))</x:f>
        <x:v>3</x:v>
      </x:c>
      <x:c r="N107" s="58">
        <x:f>E107</x:f>
        <x:v>4</x:v>
      </x:c>
      <x:c r="O107" s="58">
        <x:f>IF(COUNT(M107:N107)&lt;&gt;2,"",M107*N107)</x:f>
        <x:v>12</x:v>
      </x:c>
      <x:c r="P107" s="58"/>
      <x:c r="Q107" s="58"/>
      <x:c r="R107" s="15"/>
      <x:c r="S107" s="15"/>
    </x:row>
    <x:row r="108" ht="24" hidden="0" customHeight="1">
      <x:c r="A108" s="79" t="n">
        <x:f aca="0">Daily!A26</x:f>
        <x:v>46367.5</x:v>
      </x:c>
      <x:c r="B108" s="16" t="str">
        <x:f aca="0">Daily!D26</x:f>
        <x:v>Muscle-up movement + Cal-Intervals</x:v>
      </x:c>
      <x:c r="C108" s="15" t="str">
        <x:v>Straight-bar dip</x:v>
      </x:c>
      <x:c r="D108" s="15" t="str">
        <x:v>reps</x:v>
      </x:c>
      <x:c r="E108" s="15" t="n">
        <x:v>4</x:v>
      </x:c>
      <x:c r="F108" s="15" t="n">
        <x:v>8</x:v>
      </x:c>
      <x:c r="G108" s="15" t="n">
        <x:f aca="0">E108*F108</x:f>
        <x:v>32</x:v>
      </x:c>
      <x:c r="H108" s="15" t="str">
        <x:f aca="0">IF(AND(Daily!G26=TRUE,COUNT(Daily!T26,Daily!U26,Daily!V26,Daily!W26)&gt;0),SUM(Daily!T26,Daily!U26,Daily!V26,Daily!W26),"")</x:f>
      </x:c>
      <x:c r="I108" s="58" t="str">
        <x:f aca="0">IF(AND(ISNUMBER(H108),G108&gt;0),100*H108/G108,"")</x:f>
      </x:c>
      <x:c r="J108" s="58" t="n">
        <x:f aca="0">IF(COUNTIF(Library!$B$3:$B$58,C108)&lt;&gt;1,"",INDEX(Library!$D$3:$D$58,MATCH(C108,Library!$B$3:$B$58,0)))</x:f>
        <x:v>4</x:v>
      </x:c>
      <x:c r="K108" s="59" t="n">
        <x:f aca="0">Daily!Y26</x:f>
        <x:v>0</x:v>
      </x:c>
      <x:c r="L108" s="60" t="n">
        <x:f aca="0">IF(COUNTIF(Library!$B$3:$B$58,C108)&lt;&gt;1,"",IF(COUNTIFS(Library!$B$3:$B$58,C108,Library!$E$3:$E$58,"&lt;&gt;")=0,0,INDEX(Library!$E$3:$E$58,MATCH(C108,Library!$B$3:$B$58,0))))</x:f>
        <x:v>0.02</x:v>
      </x:c>
      <x:c r="M108" s="58" t="n">
        <x:f aca="0">IF(COUNT(J108:L108)&lt;&gt;3,"",MIN(10,J108*(1+K108*L108)))</x:f>
        <x:v>4</x:v>
      </x:c>
      <x:c r="N108" s="58">
        <x:f>E108</x:f>
        <x:v>4</x:v>
      </x:c>
      <x:c r="O108" s="58">
        <x:f>IF(COUNT(M108:N108)&lt;&gt;2,"",M108*N108)</x:f>
        <x:v>16</x:v>
      </x:c>
      <x:c r="P108" s="58"/>
      <x:c r="Q108" s="58"/>
      <x:c r="R108" s="15"/>
      <x:c r="S108" s="15"/>
    </x:row>
    <x:row r="109" ht="24" hidden="0" customHeight="1">
      <x:c r="A109" s="79" t="n">
        <x:f aca="0">Daily!A26</x:f>
        <x:v>46367.5</x:v>
      </x:c>
      <x:c r="B109" s="16" t="str">
        <x:f aca="0">Daily!D26</x:f>
        <x:v>Muscle-up movement + Cal-Intervals</x:v>
      </x:c>
      <x:c r="C109" s="15" t="str">
        <x:v>Elevated pike push-up</x:v>
      </x:c>
      <x:c r="D109" s="15" t="str">
        <x:v>reps</x:v>
      </x:c>
      <x:c r="E109" s="15" t="n">
        <x:v>4</x:v>
      </x:c>
      <x:c r="F109" s="15" t="n">
        <x:v>8</x:v>
      </x:c>
      <x:c r="G109" s="15" t="n">
        <x:f aca="0">E109*F109</x:f>
        <x:v>32</x:v>
      </x:c>
      <x:c r="H109" s="15" t="str">
        <x:f aca="0">IF(AND(Daily!G26=TRUE,COUNT(Daily!Z26,Daily!AA26,Daily!AB26,Daily!AC26)&gt;0),SUM(Daily!Z26,Daily!AA26,Daily!AB26,Daily!AC26),"")</x:f>
      </x:c>
      <x:c r="I109" s="58" t="str">
        <x:f aca="0">IF(AND(ISNUMBER(H109),G109&gt;0),100*H109/G109,"")</x:f>
      </x:c>
      <x:c r="J109" s="58" t="n">
        <x:f aca="0">IF(COUNTIF(Library!$B$3:$B$58,C109)&lt;&gt;1,"",INDEX(Library!$D$3:$D$58,MATCH(C109,Library!$B$3:$B$58,0)))</x:f>
        <x:v>4</x:v>
      </x:c>
      <x:c r="K109" s="59" t="n">
        <x:f aca="0">Daily!AE26</x:f>
        <x:v>0</x:v>
      </x:c>
      <x:c r="L109" s="60" t="n">
        <x:f aca="0">IF(COUNTIF(Library!$B$3:$B$58,C109)&lt;&gt;1,"",IF(COUNTIFS(Library!$B$3:$B$58,C109,Library!$E$3:$E$58,"&lt;&gt;")=0,0,INDEX(Library!$E$3:$E$58,MATCH(C109,Library!$B$3:$B$58,0))))</x:f>
        <x:v>0</x:v>
      </x:c>
      <x:c r="M109" s="58" t="n">
        <x:f aca="0">IF(COUNT(J109:L109)&lt;&gt;3,"",MIN(10,J109*(1+K109*L109)))</x:f>
        <x:v>4</x:v>
      </x:c>
      <x:c r="N109" s="58">
        <x:f>E109</x:f>
        <x:v>4</x:v>
      </x:c>
      <x:c r="O109" s="58">
        <x:f>IF(COUNT(M109:N109)&lt;&gt;2,"",M109*N109)</x:f>
        <x:v>16</x:v>
      </x:c>
      <x:c r="P109" s="58"/>
      <x:c r="Q109" s="58"/>
      <x:c r="R109" s="15"/>
      <x:c r="S109" s="15"/>
    </x:row>
    <x:row r="110" ht="24" hidden="0" customHeight="1">
      <x:c r="A110" s="79" t="n">
        <x:f aca="0">Daily!A26</x:f>
        <x:v>46367.5</x:v>
      </x:c>
      <x:c r="B110" s="16" t="str">
        <x:f aca="0">Daily!D26</x:f>
        <x:v>Muscle-up movement + Cal-Intervals</x:v>
      </x:c>
      <x:c r="C110" s="15" t="str">
        <x:v>Cal-Intervals</x:v>
      </x:c>
      <x:c r="D110" s="15" t="str">
        <x:v>rounds</x:v>
      </x:c>
      <x:c r="E110" s="15" t="n">
        <x:v>1</x:v>
      </x:c>
      <x:c r="F110" s="15" t="n">
        <x:v>5</x:v>
      </x:c>
      <x:c r="G110" s="15" t="n">
        <x:v>5</x:v>
      </x:c>
      <x:c r="H110" s="15" t="str">
        <x:f aca="0">IF(AND(Daily!G26=TRUE,ISNUMBER(Daily!AL26),Daily!AL26&gt;0),Daily!AL26,"")</x:f>
      </x:c>
      <x:c r="I110" s="58" t="str">
        <x:f aca="0">IF(ISNUMBER(H110),100*H110/G110,"")</x:f>
      </x:c>
      <x:c r="J110" s="58" t="n">
        <x:f aca="0">SUM(Library!F67:F70)/SUM(Library!E67:E70)</x:f>
        <x:v>5</x:v>
      </x:c>
      <x:c r="K110" s="59"/>
      <x:c r="L110" s="60"/>
      <x:c r="M110" s="58" t="n">
        <x:f aca="0">J110</x:f>
        <x:v>5</x:v>
      </x:c>
      <x:c r="N110" s="58">
        <x:f>G110*COUNT(Library!B67:B70)</x:f>
        <x:v>20</x:v>
      </x:c>
      <x:c r="O110" s="58">
        <x:f>IF(COUNT(M110:N110)&lt;&gt;2,"",M110*N110)</x:f>
        <x:v>100</x:v>
      </x:c>
      <x:c r="P110" s="58"/>
      <x:c r="Q110" s="58"/>
      <x:c r="R110" s="15"/>
      <x:c r="S110" s="15"/>
    </x:row>
    <x:row r="111" ht="24" hidden="0" customHeight="1">
      <x:c r="A111" s="79" t="n">
        <x:f aca="0">Daily!A27</x:f>
        <x:v>46370.5</x:v>
      </x:c>
      <x:c r="B111" s="16" t="str">
        <x:f aca="0">Daily!D27</x:f>
        <x:v>Pull and muscle-up strength</x:v>
      </x:c>
      <x:c r="C111" s="15" t="str">
        <x:v>High pull</x:v>
      </x:c>
      <x:c r="D111" s="15" t="str">
        <x:v>reps</x:v>
      </x:c>
      <x:c r="E111" s="15" t="n">
        <x:v>4</x:v>
      </x:c>
      <x:c r="F111" s="15" t="n">
        <x:v>3</x:v>
      </x:c>
      <x:c r="G111" s="15" t="n">
        <x:f aca="0">E111*F111</x:f>
        <x:v>12</x:v>
      </x:c>
      <x:c r="H111" s="15" t="str">
        <x:f aca="0">IF(AND(Daily!G27=TRUE,COUNT(Daily!H27,Daily!I27,Daily!J27,Daily!K27)&gt;0),SUM(Daily!H27,Daily!I27,Daily!J27,Daily!K27),"")</x:f>
      </x:c>
      <x:c r="I111" s="58" t="str">
        <x:f aca="0">IF(AND(ISNUMBER(H111),G111&gt;0),100*H111/G111,"")</x:f>
      </x:c>
      <x:c r="J111" s="58" t="n">
        <x:f aca="0">IF(COUNTIF(Library!$B$3:$B$58,C111)&lt;&gt;1,"",INDEX(Library!$D$3:$D$58,MATCH(C111,Library!$B$3:$B$58,0)))</x:f>
        <x:v>4</x:v>
      </x:c>
      <x:c r="K111" s="59" t="n">
        <x:f aca="0">Daily!M27</x:f>
        <x:v>0</x:v>
      </x:c>
      <x:c r="L111" s="60" t="n">
        <x:f aca="0">IF(COUNTIF(Library!$B$3:$B$58,C111)&lt;&gt;1,"",IF(COUNTIFS(Library!$B$3:$B$58,C111,Library!$E$3:$E$58,"&lt;&gt;")=0,0,INDEX(Library!$E$3:$E$58,MATCH(C111,Library!$B$3:$B$58,0))))</x:f>
        <x:v>0.04</x:v>
      </x:c>
      <x:c r="M111" s="58" t="n">
        <x:f aca="0">IF(COUNT(J111:L111)&lt;&gt;3,"",MIN(10,J111*(1+K111*L111)))</x:f>
        <x:v>4</x:v>
      </x:c>
      <x:c r="N111" s="58">
        <x:f>E111</x:f>
        <x:v>4</x:v>
      </x:c>
      <x:c r="O111" s="58">
        <x:f>IF(COUNT(M111:N111)&lt;&gt;2,"",M111*N111)</x:f>
        <x:v>16</x:v>
      </x:c>
      <x:c r="P111" s="58">
        <x:f>IF(COUNT(O111:O115)&lt;&gt;COUNT(N111:N115),"",ROUND(SUM(O111:O115)/SUM(N111:N115),1))</x:f>
        <x:v>4</x:v>
      </x:c>
      <x:c r="Q111" s="58" t="str">
        <x:f>IF(COUNT(I111:I115)=0,"",MEDIAN(I111:I115))</x:f>
      </x:c>
      <x:c r="R111" s="15" t="n">
        <x:f>COUNT(I111:I115)</x:f>
        <x:v>0</x:v>
      </x:c>
      <x:c r="S111" s="15" t="n">
        <x:v>5</x:v>
      </x:c>
    </x:row>
    <x:row r="112" ht="24" hidden="0" customHeight="1">
      <x:c r="A112" s="79" t="n">
        <x:f aca="0">Daily!A27</x:f>
        <x:v>46370.5</x:v>
      </x:c>
      <x:c r="B112" s="16" t="str">
        <x:f aca="0">Daily!D27</x:f>
        <x:v>Pull and muscle-up strength</x:v>
      </x:c>
      <x:c r="C112" s="15" t="str">
        <x:v>Pull-up</x:v>
      </x:c>
      <x:c r="D112" s="15" t="str">
        <x:v>reps</x:v>
      </x:c>
      <x:c r="E112" s="15" t="n">
        <x:v>4</x:v>
      </x:c>
      <x:c r="F112" s="15" t="n">
        <x:v>6</x:v>
      </x:c>
      <x:c r="G112" s="15" t="n">
        <x:f aca="0">E112*F112</x:f>
        <x:v>24</x:v>
      </x:c>
      <x:c r="H112" s="15" t="str">
        <x:f aca="0">IF(AND(Daily!G27=TRUE,COUNT(Daily!N27,Daily!O27,Daily!P27,Daily!Q27)&gt;0),SUM(Daily!N27,Daily!O27,Daily!P27,Daily!Q27),"")</x:f>
      </x:c>
      <x:c r="I112" s="58" t="str">
        <x:f aca="0">IF(AND(ISNUMBER(H112),G112&gt;0),100*H112/G112,"")</x:f>
      </x:c>
      <x:c r="J112" s="58" t="n">
        <x:f aca="0">IF(COUNTIF(Library!$B$3:$B$58,C112)&lt;&gt;1,"",INDEX(Library!$D$3:$D$58,MATCH(C112,Library!$B$3:$B$58,0)))</x:f>
        <x:v>6</x:v>
      </x:c>
      <x:c r="K112" s="59" t="n">
        <x:f aca="0">Daily!S27</x:f>
        <x:v>0</x:v>
      </x:c>
      <x:c r="L112" s="60" t="n">
        <x:f aca="0">IF(COUNTIF(Library!$B$3:$B$58,C112)&lt;&gt;1,"",IF(COUNTIFS(Library!$B$3:$B$58,C112,Library!$E$3:$E$58,"&lt;&gt;")=0,0,INDEX(Library!$E$3:$E$58,MATCH(C112,Library!$B$3:$B$58,0))))</x:f>
        <x:v>0.04</x:v>
      </x:c>
      <x:c r="M112" s="58" t="n">
        <x:f aca="0">IF(COUNT(J112:L112)&lt;&gt;3,"",MIN(10,J112*(1+K112*L112)))</x:f>
        <x:v>6</x:v>
      </x:c>
      <x:c r="N112" s="58">
        <x:f>E112</x:f>
        <x:v>4</x:v>
      </x:c>
      <x:c r="O112" s="58">
        <x:f>IF(COUNT(M112:N112)&lt;&gt;2,"",M112*N112)</x:f>
        <x:v>24</x:v>
      </x:c>
      <x:c r="P112" s="58"/>
      <x:c r="Q112" s="58"/>
      <x:c r="R112" s="15"/>
      <x:c r="S112" s="15"/>
    </x:row>
    <x:row r="113" ht="24" hidden="0" customHeight="1">
      <x:c r="A113" s="79" t="n">
        <x:f aca="0">Daily!A27</x:f>
        <x:v>46370.5</x:v>
      </x:c>
      <x:c r="B113" s="16" t="str">
        <x:f aca="0">Daily!D27</x:f>
        <x:v>Pull and muscle-up strength</x:v>
      </x:c>
      <x:c r="C113" s="15" t="str">
        <x:v>Parallel-bar dip</x:v>
      </x:c>
      <x:c r="D113" s="15" t="str">
        <x:v>reps</x:v>
      </x:c>
      <x:c r="E113" s="15" t="n">
        <x:v>4</x:v>
      </x:c>
      <x:c r="F113" s="15" t="n">
        <x:v>12</x:v>
      </x:c>
      <x:c r="G113" s="15" t="n">
        <x:f aca="0">E113*F113</x:f>
        <x:v>48</x:v>
      </x:c>
      <x:c r="H113" s="15" t="str">
        <x:f aca="0">IF(AND(Daily!G27=TRUE,COUNT(Daily!T27,Daily!U27,Daily!V27,Daily!W27)&gt;0),SUM(Daily!T27,Daily!U27,Daily!V27,Daily!W27),"")</x:f>
      </x:c>
      <x:c r="I113" s="58" t="str">
        <x:f aca="0">IF(AND(ISNUMBER(H113),G113&gt;0),100*H113/G113,"")</x:f>
      </x:c>
      <x:c r="J113" s="58" t="n">
        <x:f aca="0">IF(COUNTIF(Library!$B$3:$B$58,C113)&lt;&gt;1,"",INDEX(Library!$D$3:$D$58,MATCH(C113,Library!$B$3:$B$58,0)))</x:f>
        <x:v>4</x:v>
      </x:c>
      <x:c r="K113" s="59" t="n">
        <x:f aca="0">Daily!Y27</x:f>
        <x:v>0</x:v>
      </x:c>
      <x:c r="L113" s="60" t="n">
        <x:f aca="0">IF(COUNTIF(Library!$B$3:$B$58,C113)&lt;&gt;1,"",IF(COUNTIFS(Library!$B$3:$B$58,C113,Library!$E$3:$E$58,"&lt;&gt;")=0,0,INDEX(Library!$E$3:$E$58,MATCH(C113,Library!$B$3:$B$58,0))))</x:f>
        <x:v>0.02</x:v>
      </x:c>
      <x:c r="M113" s="58" t="n">
        <x:f aca="0">IF(COUNT(J113:L113)&lt;&gt;3,"",MIN(10,J113*(1+K113*L113)))</x:f>
        <x:v>4</x:v>
      </x:c>
      <x:c r="N113" s="58">
        <x:f>E113</x:f>
        <x:v>4</x:v>
      </x:c>
      <x:c r="O113" s="58">
        <x:f>IF(COUNT(M113:N113)&lt;&gt;2,"",M113*N113)</x:f>
        <x:v>16</x:v>
      </x:c>
      <x:c r="P113" s="58"/>
      <x:c r="Q113" s="58"/>
      <x:c r="R113" s="15"/>
      <x:c r="S113" s="15"/>
    </x:row>
    <x:row r="114" ht="24" hidden="0" customHeight="1">
      <x:c r="A114" s="79" t="n">
        <x:f aca="0">Daily!A27</x:f>
        <x:v>46370.5</x:v>
      </x:c>
      <x:c r="B114" s="16" t="str">
        <x:f aca="0">Daily!D27</x:f>
        <x:v>Pull and muscle-up strength</x:v>
      </x:c>
      <x:c r="C114" s="15" t="str">
        <x:v>Box pistol</x:v>
      </x:c>
      <x:c r="D114" s="15" t="str">
        <x:v>reps/leg</x:v>
      </x:c>
      <x:c r="E114" s="15" t="n">
        <x:v>4</x:v>
      </x:c>
      <x:c r="F114" s="15" t="n">
        <x:v>5</x:v>
      </x:c>
      <x:c r="G114" s="15" t="n">
        <x:f aca="0">E114*F114</x:f>
        <x:v>20</x:v>
      </x:c>
      <x:c r="H114" s="15" t="str">
        <x:f aca="0">IF(AND(Daily!G27=TRUE,COUNT(Daily!Z27,Daily!AA27,Daily!AB27,Daily!AC27)&gt;0),SUM(Daily!Z27,Daily!AA27,Daily!AB27,Daily!AC27),"")</x:f>
      </x:c>
      <x:c r="I114" s="58" t="str">
        <x:f aca="0">IF(AND(ISNUMBER(H114),G114&gt;0),100*H114/G114,"")</x:f>
      </x:c>
      <x:c r="J114" s="58" t="n">
        <x:f aca="0">IF(COUNTIF(Library!$B$3:$B$58,C114)&lt;&gt;1,"",INDEX(Library!$D$3:$D$58,MATCH(C114,Library!$B$3:$B$58,0)))</x:f>
        <x:v>2</x:v>
      </x:c>
      <x:c r="K114" s="59" t="n">
        <x:f aca="0">Daily!AE27</x:f>
        <x:v>0</x:v>
      </x:c>
      <x:c r="L114" s="60" t="n">
        <x:f aca="0">IF(COUNTIF(Library!$B$3:$B$58,C114)&lt;&gt;1,"",IF(COUNTIFS(Library!$B$3:$B$58,C114,Library!$E$3:$E$58,"&lt;&gt;")=0,0,INDEX(Library!$E$3:$E$58,MATCH(C114,Library!$B$3:$B$58,0))))</x:f>
        <x:v>0.03</x:v>
      </x:c>
      <x:c r="M114" s="58" t="n">
        <x:f aca="0">IF(COUNT(J114:L114)&lt;&gt;3,"",MIN(10,J114*(1+K114*L114)))</x:f>
        <x:v>2</x:v>
      </x:c>
      <x:c r="N114" s="58">
        <x:f>E114</x:f>
        <x:v>4</x:v>
      </x:c>
      <x:c r="O114" s="58">
        <x:f>IF(COUNT(M114:N114)&lt;&gt;2,"",M114*N114)</x:f>
        <x:v>8</x:v>
      </x:c>
      <x:c r="P114" s="58"/>
      <x:c r="Q114" s="58"/>
      <x:c r="R114" s="15"/>
      <x:c r="S114" s="15"/>
    </x:row>
    <x:row r="115" ht="24" hidden="0" customHeight="1">
      <x:c r="A115" s="79" t="n">
        <x:f aca="0">Daily!A27</x:f>
        <x:v>46370.5</x:v>
      </x:c>
      <x:c r="B115" s="16" t="str">
        <x:f aca="0">Daily!D27</x:f>
        <x:v>Pull and muscle-up strength</x:v>
      </x:c>
      <x:c r="C115" s="15" t="str">
        <x:v>Sliding hamstring curl</x:v>
      </x:c>
      <x:c r="D115" s="15" t="str">
        <x:v>reps</x:v>
      </x:c>
      <x:c r="E115" s="15" t="n">
        <x:v>3</x:v>
      </x:c>
      <x:c r="F115" s="15" t="n">
        <x:v>10</x:v>
      </x:c>
      <x:c r="G115" s="15" t="n">
        <x:f aca="0">E115*F115</x:f>
        <x:v>30</x:v>
      </x:c>
      <x:c r="H115" s="15" t="str">
        <x:f aca="0">IF(AND(Daily!G27=TRUE,COUNT(Daily!AF27,Daily!AG27,Daily!AH27)&gt;0),SUM(Daily!AF27,Daily!AG27,Daily!AH27),"")</x:f>
      </x:c>
      <x:c r="I115" s="58" t="str">
        <x:f aca="0">IF(AND(ISNUMBER(H115),G115&gt;0),100*H115/G115,"")</x:f>
      </x:c>
      <x:c r="J115" s="58" t="n">
        <x:f aca="0">IF(COUNTIF(Library!$B$3:$B$58,C115)&lt;&gt;1,"",INDEX(Library!$D$3:$D$58,MATCH(C115,Library!$B$3:$B$58,0)))</x:f>
        <x:v>4</x:v>
      </x:c>
      <x:c r="K115" s="59" t="n">
        <x:f aca="0">Daily!AK27</x:f>
        <x:v>0</x:v>
      </x:c>
      <x:c r="L115" s="60" t="n">
        <x:f aca="0">IF(COUNTIF(Library!$B$3:$B$58,C115)&lt;&gt;1,"",IF(COUNTIFS(Library!$B$3:$B$58,C115,Library!$E$3:$E$58,"&lt;&gt;")=0,0,INDEX(Library!$E$3:$E$58,MATCH(C115,Library!$B$3:$B$58,0))))</x:f>
        <x:v>0</x:v>
      </x:c>
      <x:c r="M115" s="58" t="n">
        <x:f aca="0">IF(COUNT(J115:L115)&lt;&gt;3,"",MIN(10,J115*(1+K115*L115)))</x:f>
        <x:v>4</x:v>
      </x:c>
      <x:c r="N115" s="58">
        <x:f>E115</x:f>
        <x:v>3</x:v>
      </x:c>
      <x:c r="O115" s="58">
        <x:f>IF(COUNT(M115:N115)&lt;&gt;2,"",M115*N115)</x:f>
        <x:v>12</x:v>
      </x:c>
      <x:c r="P115" s="58"/>
      <x:c r="Q115" s="58"/>
      <x:c r="R115" s="15"/>
      <x:c r="S115" s="15"/>
    </x:row>
    <x:row r="116" ht="24" hidden="0" customHeight="1">
      <x:c r="A116" s="79" t="n">
        <x:f aca="0">Daily!A28</x:f>
        <x:v>46371.5</x:v>
      </x:c>
      <x:c r="B116" s="16" t="str">
        <x:f aca="0">Daily!D28</x:f>
        <x:v>Optional movement practice</x:v>
      </x:c>
      <x:c r="C116" s="15" t="str">
        <x:v>Wrist/shoulder mobility</x:v>
      </x:c>
      <x:c r="D116" s="15" t="str">
        <x:v>seconds</x:v>
      </x:c>
      <x:c r="E116" s="15" t="n">
        <x:v>1</x:v>
      </x:c>
      <x:c r="F116" s="15" t="n">
        <x:v>120</x:v>
      </x:c>
      <x:c r="G116" s="15" t="n">
        <x:f aca="0">E116*F116</x:f>
        <x:v>120</x:v>
      </x:c>
      <x:c r="H116" s="15" t="str">
        <x:f aca="0">IF(AND(Daily!G28=TRUE,COUNT(Daily!H28)&gt;0),SUM(Daily!H28)*86400,"")</x:f>
      </x:c>
      <x:c r="I116" s="58" t="str">
        <x:f aca="0">IF(AND(ISNUMBER(H116),G116&gt;0),100*H116/G116,"")</x:f>
      </x:c>
      <x:c r="J116" s="58" t="n">
        <x:f aca="0">IF(COUNTIF(Library!$B$3:$B$58,C116)&lt;&gt;1,"",INDEX(Library!$D$3:$D$58,MATCH(C116,Library!$B$3:$B$58,0)))</x:f>
        <x:v>1</x:v>
      </x:c>
      <x:c r="K116" s="59" t="n">
        <x:f aca="0">Daily!M28</x:f>
        <x:v>0</x:v>
      </x:c>
      <x:c r="L116" s="60" t="n">
        <x:f aca="0">IF(COUNTIF(Library!$B$3:$B$58,C116)&lt;&gt;1,"",IF(COUNTIFS(Library!$B$3:$B$58,C116,Library!$E$3:$E$58,"&lt;&gt;")=0,0,INDEX(Library!$E$3:$E$58,MATCH(C116,Library!$B$3:$B$58,0))))</x:f>
        <x:v>0</x:v>
      </x:c>
      <x:c r="M116" s="58" t="n">
        <x:f aca="0">IF(COUNT(J116:L116)&lt;&gt;3,"",MIN(10,J116*(1+K116*L116)))</x:f>
        <x:v>1</x:v>
      </x:c>
      <x:c r="N116" s="58">
        <x:f>E116</x:f>
        <x:v>1</x:v>
      </x:c>
      <x:c r="O116" s="58">
        <x:f>IF(COUNT(M116:N116)&lt;&gt;2,"",M116*N116)</x:f>
        <x:v>1</x:v>
      </x:c>
      <x:c r="P116" s="58">
        <x:f>IF(COUNT(O116:O118)&lt;&gt;COUNT(N116:N118),"",ROUND(SUM(O116:O118)/SUM(N116:N118),1))</x:f>
        <x:v>1</x:v>
      </x:c>
      <x:c r="Q116" s="58" t="str">
        <x:f>IF(COUNT(I116:I118)=0,"",MEDIAN(I116:I118))</x:f>
      </x:c>
      <x:c r="R116" s="15" t="n">
        <x:f>COUNT(I116:I118)</x:f>
        <x:v>0</x:v>
      </x:c>
      <x:c r="S116" s="15" t="n">
        <x:v>3</x:v>
      </x:c>
    </x:row>
    <x:row r="117" ht="24" hidden="0" customHeight="1">
      <x:c r="A117" s="79" t="n">
        <x:f aca="0">Daily!A28</x:f>
        <x:v>46371.5</x:v>
      </x:c>
      <x:c r="B117" s="16" t="str">
        <x:f aca="0">Daily!D28</x:f>
        <x:v>Optional movement practice</x:v>
      </x:c>
      <x:c r="C117" s="15" t="str">
        <x:v>Easy handstand walk</x:v>
      </x:c>
      <x:c r="D117" s="15" t="str">
        <x:v>m</x:v>
      </x:c>
      <x:c r="E117" s="15" t="n">
        <x:v>3</x:v>
      </x:c>
      <x:c r="F117" s="15" t="n">
        <x:v>2</x:v>
      </x:c>
      <x:c r="G117" s="15" t="n">
        <x:f aca="0">E117*F117</x:f>
        <x:v>6</x:v>
      </x:c>
      <x:c r="H117" s="15" t="str">
        <x:f aca="0">IF(AND(Daily!G28=TRUE,COUNT(Daily!N28,Daily!O28,Daily!P28)&gt;0),SUM(Daily!N28,Daily!O28,Daily!P28),"")</x:f>
      </x:c>
      <x:c r="I117" s="58" t="str">
        <x:f aca="0">IF(AND(ISNUMBER(H117),G117&gt;0),100*H117/G117,"")</x:f>
      </x:c>
      <x:c r="J117" s="58" t="n">
        <x:f aca="0">IF(COUNTIF(Library!$B$3:$B$58,C117)&lt;&gt;1,"",INDEX(Library!$D$3:$D$58,MATCH(C117,Library!$B$3:$B$58,0)))</x:f>
        <x:v>1</x:v>
      </x:c>
      <x:c r="K117" s="59" t="n">
        <x:f aca="0">Daily!S28</x:f>
        <x:v>0</x:v>
      </x:c>
      <x:c r="L117" s="60" t="n">
        <x:f aca="0">IF(COUNTIF(Library!$B$3:$B$58,C117)&lt;&gt;1,"",IF(COUNTIFS(Library!$B$3:$B$58,C117,Library!$E$3:$E$58,"&lt;&gt;")=0,0,INDEX(Library!$E$3:$E$58,MATCH(C117,Library!$B$3:$B$58,0))))</x:f>
        <x:v>0</x:v>
      </x:c>
      <x:c r="M117" s="58" t="n">
        <x:f aca="0">IF(COUNT(J117:L117)&lt;&gt;3,"",MIN(10,J117*(1+K117*L117)))</x:f>
        <x:v>1</x:v>
      </x:c>
      <x:c r="N117" s="58">
        <x:f>E117</x:f>
        <x:v>3</x:v>
      </x:c>
      <x:c r="O117" s="58">
        <x:f>IF(COUNT(M117:N117)&lt;&gt;2,"",M117*N117)</x:f>
        <x:v>3</x:v>
      </x:c>
      <x:c r="P117" s="58"/>
      <x:c r="Q117" s="58"/>
      <x:c r="R117" s="15"/>
      <x:c r="S117" s="15"/>
    </x:row>
    <x:row r="118" ht="24" hidden="0" customHeight="1">
      <x:c r="A118" s="79" t="n">
        <x:f aca="0">Daily!A28</x:f>
        <x:v>46371.5</x:v>
      </x:c>
      <x:c r="B118" s="16" t="str">
        <x:f aca="0">Daily!D28</x:f>
        <x:v>Optional movement practice</x:v>
      </x:c>
      <x:c r="C118" s="15" t="str">
        <x:v>Easy bear crawl</x:v>
      </x:c>
      <x:c r="D118" s="15" t="str">
        <x:v>seconds</x:v>
      </x:c>
      <x:c r="E118" s="15" t="n">
        <x:v>3</x:v>
      </x:c>
      <x:c r="F118" s="15" t="n">
        <x:v>20</x:v>
      </x:c>
      <x:c r="G118" s="15" t="n">
        <x:f aca="0">E118*F118</x:f>
        <x:v>60</x:v>
      </x:c>
      <x:c r="H118" s="15" t="str">
        <x:f aca="0">IF(AND(Daily!G28=TRUE,COUNT(Daily!T28,Daily!U28,Daily!V28)&gt;0),SUM(Daily!T28,Daily!U28,Daily!V28)*86400,"")</x:f>
      </x:c>
      <x:c r="I118" s="58" t="str">
        <x:f aca="0">IF(AND(ISNUMBER(H118),G118&gt;0),100*H118/G118,"")</x:f>
      </x:c>
      <x:c r="J118" s="58" t="n">
        <x:f aca="0">IF(COUNTIF(Library!$B$3:$B$58,C118)&lt;&gt;1,"",INDEX(Library!$D$3:$D$58,MATCH(C118,Library!$B$3:$B$58,0)))</x:f>
        <x:v>1</x:v>
      </x:c>
      <x:c r="K118" s="59" t="n">
        <x:f aca="0">Daily!Y28</x:f>
        <x:v>0</x:v>
      </x:c>
      <x:c r="L118" s="60" t="n">
        <x:f aca="0">IF(COUNTIF(Library!$B$3:$B$58,C118)&lt;&gt;1,"",IF(COUNTIFS(Library!$B$3:$B$58,C118,Library!$E$3:$E$58,"&lt;&gt;")=0,0,INDEX(Library!$E$3:$E$58,MATCH(C118,Library!$B$3:$B$58,0))))</x:f>
        <x:v>0</x:v>
      </x:c>
      <x:c r="M118" s="58" t="n">
        <x:f aca="0">IF(COUNT(J118:L118)&lt;&gt;3,"",MIN(10,J118*(1+K118*L118)))</x:f>
        <x:v>1</x:v>
      </x:c>
      <x:c r="N118" s="58">
        <x:f>E118</x:f>
        <x:v>3</x:v>
      </x:c>
      <x:c r="O118" s="58">
        <x:f>IF(COUNT(M118:N118)&lt;&gt;2,"",M118*N118)</x:f>
        <x:v>3</x:v>
      </x:c>
      <x:c r="P118" s="58"/>
      <x:c r="Q118" s="58"/>
      <x:c r="R118" s="15"/>
      <x:c r="S118" s="15"/>
    </x:row>
    <x:row r="119" ht="24" hidden="0" customHeight="1">
      <x:c r="A119" s="79" t="n">
        <x:f aca="0">Daily!A29</x:f>
        <x:v>46372.5</x:v>
      </x:c>
      <x:c r="B119" s="16" t="str">
        <x:f aca="0">Daily!D29</x:f>
        <x:v>Handstand movement and strength</x:v>
      </x:c>
      <x:c r="C119" s="15" t="str">
        <x:v>Handstand walk</x:v>
      </x:c>
      <x:c r="D119" s="15" t="str">
        <x:v>m</x:v>
      </x:c>
      <x:c r="E119" s="15" t="n">
        <x:v>3</x:v>
      </x:c>
      <x:c r="F119" s="15" t="n">
        <x:v>3</x:v>
      </x:c>
      <x:c r="G119" s="15" t="n">
        <x:f aca="0">E119*F119</x:f>
        <x:v>9</x:v>
      </x:c>
      <x:c r="H119" s="15" t="str">
        <x:f aca="0">IF(AND(Daily!G29=TRUE,COUNT(Daily!H29,Daily!I29,Daily!J29)&gt;0),SUM(Daily!H29,Daily!I29,Daily!J29),"")</x:f>
      </x:c>
      <x:c r="I119" s="58" t="str">
        <x:f aca="0">IF(AND(ISNUMBER(H119),G119&gt;0),100*H119/G119,"")</x:f>
      </x:c>
      <x:c r="J119" s="58" t="n">
        <x:f aca="0">IF(COUNTIF(Library!$B$3:$B$58,C119)&lt;&gt;1,"",INDEX(Library!$D$3:$D$58,MATCH(C119,Library!$B$3:$B$58,0)))</x:f>
        <x:v>3</x:v>
      </x:c>
      <x:c r="K119" s="59" t="n">
        <x:f aca="0">Daily!M29</x:f>
        <x:v>0</x:v>
      </x:c>
      <x:c r="L119" s="60" t="n">
        <x:f aca="0">IF(COUNTIF(Library!$B$3:$B$58,C119)&lt;&gt;1,"",IF(COUNTIFS(Library!$B$3:$B$58,C119,Library!$E$3:$E$58,"&lt;&gt;")=0,0,INDEX(Library!$E$3:$E$58,MATCH(C119,Library!$B$3:$B$58,0))))</x:f>
        <x:v>0</x:v>
      </x:c>
      <x:c r="M119" s="58" t="n">
        <x:f aca="0">IF(COUNT(J119:L119)&lt;&gt;3,"",MIN(10,J119*(1+K119*L119)))</x:f>
        <x:v>3</x:v>
      </x:c>
      <x:c r="N119" s="58">
        <x:f>E119</x:f>
        <x:v>3</x:v>
      </x:c>
      <x:c r="O119" s="58">
        <x:f>IF(COUNT(M119:N119)&lt;&gt;2,"",M119*N119)</x:f>
        <x:v>9</x:v>
      </x:c>
      <x:c r="P119" s="58">
        <x:f>IF(COUNT(O119:O123)&lt;&gt;COUNT(N119:N123),"",ROUND(SUM(O119:O123)/SUM(N119:N123),1))</x:f>
        <x:v>3.8</x:v>
      </x:c>
      <x:c r="Q119" s="58" t="str">
        <x:f>IF(COUNT(I119:I123)=0,"",MEDIAN(I119:I123))</x:f>
      </x:c>
      <x:c r="R119" s="15" t="n">
        <x:f>COUNT(I119:I123)</x:f>
        <x:v>0</x:v>
      </x:c>
      <x:c r="S119" s="15" t="n">
        <x:v>5</x:v>
      </x:c>
    </x:row>
    <x:row r="120" ht="24" hidden="0" customHeight="1">
      <x:c r="A120" s="79" t="n">
        <x:f aca="0">Daily!A29</x:f>
        <x:v>46372.5</x:v>
      </x:c>
      <x:c r="B120" s="16" t="str">
        <x:f aca="0">Daily!D29</x:f>
        <x:v>Handstand movement and strength</x:v>
      </x:c>
      <x:c r="C120" s="15" t="str">
        <x:v>Elevated pike push-up</x:v>
      </x:c>
      <x:c r="D120" s="15" t="str">
        <x:v>reps</x:v>
      </x:c>
      <x:c r="E120" s="15" t="n">
        <x:v>4</x:v>
      </x:c>
      <x:c r="F120" s="15" t="n">
        <x:v>8</x:v>
      </x:c>
      <x:c r="G120" s="15" t="n">
        <x:f aca="0">E120*F120</x:f>
        <x:v>32</x:v>
      </x:c>
      <x:c r="H120" s="15" t="str">
        <x:f aca="0">IF(AND(Daily!G29=TRUE,COUNT(Daily!N29,Daily!O29,Daily!P29,Daily!Q29)&gt;0),SUM(Daily!N29,Daily!O29,Daily!P29,Daily!Q29),"")</x:f>
      </x:c>
      <x:c r="I120" s="58" t="str">
        <x:f aca="0">IF(AND(ISNUMBER(H120),G120&gt;0),100*H120/G120,"")</x:f>
      </x:c>
      <x:c r="J120" s="58" t="n">
        <x:f aca="0">IF(COUNTIF(Library!$B$3:$B$58,C120)&lt;&gt;1,"",INDEX(Library!$D$3:$D$58,MATCH(C120,Library!$B$3:$B$58,0)))</x:f>
        <x:v>4</x:v>
      </x:c>
      <x:c r="K120" s="59" t="n">
        <x:f aca="0">Daily!S29</x:f>
        <x:v>0</x:v>
      </x:c>
      <x:c r="L120" s="60" t="n">
        <x:f aca="0">IF(COUNTIF(Library!$B$3:$B$58,C120)&lt;&gt;1,"",IF(COUNTIFS(Library!$B$3:$B$58,C120,Library!$E$3:$E$58,"&lt;&gt;")=0,0,INDEX(Library!$E$3:$E$58,MATCH(C120,Library!$B$3:$B$58,0))))</x:f>
        <x:v>0</x:v>
      </x:c>
      <x:c r="M120" s="58" t="n">
        <x:f aca="0">IF(COUNT(J120:L120)&lt;&gt;3,"",MIN(10,J120*(1+K120*L120)))</x:f>
        <x:v>4</x:v>
      </x:c>
      <x:c r="N120" s="58">
        <x:f>E120</x:f>
        <x:v>4</x:v>
      </x:c>
      <x:c r="O120" s="58">
        <x:f>IF(COUNT(M120:N120)&lt;&gt;2,"",M120*N120)</x:f>
        <x:v>16</x:v>
      </x:c>
      <x:c r="P120" s="58"/>
      <x:c r="Q120" s="58"/>
      <x:c r="R120" s="15"/>
      <x:c r="S120" s="15"/>
    </x:row>
    <x:row r="121" ht="24" hidden="0" customHeight="1">
      <x:c r="A121" s="79" t="n">
        <x:f aca="0">Daily!A29</x:f>
        <x:v>46372.5</x:v>
      </x:c>
      <x:c r="B121" s="16" t="str">
        <x:f aca="0">Daily!D29</x:f>
        <x:v>Handstand movement and strength</x:v>
      </x:c>
      <x:c r="C121" s="15" t="str">
        <x:v>Pull-up</x:v>
      </x:c>
      <x:c r="D121" s="15" t="str">
        <x:v>reps</x:v>
      </x:c>
      <x:c r="E121" s="15" t="n">
        <x:v>4</x:v>
      </x:c>
      <x:c r="F121" s="15" t="n">
        <x:v>6</x:v>
      </x:c>
      <x:c r="G121" s="15" t="n">
        <x:f>E121*F121</x:f>
        <x:v>24</x:v>
      </x:c>
      <x:c r="H121" s="15" t="str">
        <x:f aca="0">IF(AND(Daily!G29=TRUE,COUNT(Daily!T29,Daily!U29,Daily!V29,Daily!W29)&gt;0),SUM(Daily!T29,Daily!U29,Daily!V29,Daily!W29),"")</x:f>
      </x:c>
      <x:c r="I121" s="58" t="str">
        <x:f aca="0">IF(AND(ISNUMBER(H121),G121&gt;0),100*H121/G121,"")</x:f>
      </x:c>
      <x:c r="J121" s="58" t="n">
        <x:f aca="0">IF(COUNTIF(Library!$B$3:$B$58,C121)&lt;&gt;1,"",INDEX(Library!$D$3:$D$58,MATCH(C121,Library!$B$3:$B$58,0)))</x:f>
        <x:v>6</x:v>
      </x:c>
      <x:c r="K121" s="59" t="n">
        <x:f>Daily!Y29</x:f>
        <x:v>0</x:v>
      </x:c>
      <x:c r="L121" s="60" t="n">
        <x:f>IF(COUNTIF(Library!$B$3:$B$58,C121)&lt;&gt;1,"",IF(COUNTIFS(Library!$B$3:$B$58,C121,Library!$E$3:$E$58,"&lt;&gt;")=0,0,INDEX(Library!$E$3:$E$58,MATCH(C121,Library!$B$3:$B$58,0))))</x:f>
        <x:v>0.04</x:v>
      </x:c>
      <x:c r="M121" s="58" t="n">
        <x:f aca="0">IF(COUNT(J121:L121)&lt;&gt;3,"",MIN(10,J121*(1+K121*L121)))</x:f>
        <x:v>6</x:v>
      </x:c>
      <x:c r="N121" s="58">
        <x:f>E121</x:f>
        <x:v>4</x:v>
      </x:c>
      <x:c r="O121" s="58">
        <x:f>IF(COUNT(M121:N121)&lt;&gt;2,"",M121*N121)</x:f>
        <x:v>24</x:v>
      </x:c>
      <x:c r="P121" s="58"/>
      <x:c r="Q121" s="58"/>
      <x:c r="R121" s="15"/>
      <x:c r="S121" s="15"/>
    </x:row>
    <x:row r="122" ht="24" hidden="0" customHeight="1">
      <x:c r="A122" s="79" t="n">
        <x:f aca="0">Daily!A29</x:f>
        <x:v>46372.5</x:v>
      </x:c>
      <x:c r="B122" s="16" t="str">
        <x:f aca="0">Daily!D29</x:f>
        <x:v>Handstand movement and strength</x:v>
      </x:c>
      <x:c r="C122" s="15" t="str">
        <x:v>Box pistol</x:v>
      </x:c>
      <x:c r="D122" s="15" t="str">
        <x:v>reps/leg</x:v>
      </x:c>
      <x:c r="E122" s="15" t="n">
        <x:v>4</x:v>
      </x:c>
      <x:c r="F122" s="15" t="n">
        <x:v>5</x:v>
      </x:c>
      <x:c r="G122" s="15" t="n">
        <x:f aca="0">E122*F122</x:f>
        <x:v>20</x:v>
      </x:c>
      <x:c r="H122" s="15" t="str">
        <x:f aca="0">IF(AND(Daily!G29=TRUE,COUNT(Daily!Z29,Daily!AA29,Daily!AB29,Daily!AC29)&gt;0),SUM(Daily!Z29,Daily!AA29,Daily!AB29,Daily!AC29),"")</x:f>
      </x:c>
      <x:c r="I122" s="58" t="str">
        <x:f aca="0">IF(AND(ISNUMBER(H122),G122&gt;0),100*H122/G122,"")</x:f>
      </x:c>
      <x:c r="J122" s="58" t="n">
        <x:f aca="0">IF(COUNTIF(Library!$B$3:$B$58,C122)&lt;&gt;1,"",INDEX(Library!$D$3:$D$58,MATCH(C122,Library!$B$3:$B$58,0)))</x:f>
        <x:v>2</x:v>
      </x:c>
      <x:c r="K122" s="59" t="n">
        <x:f aca="0">Daily!AE29</x:f>
        <x:v>0</x:v>
      </x:c>
      <x:c r="L122" s="60" t="n">
        <x:f aca="0">IF(COUNTIF(Library!$B$3:$B$58,C122)&lt;&gt;1,"",IF(COUNTIFS(Library!$B$3:$B$58,C122,Library!$E$3:$E$58,"&lt;&gt;")=0,0,INDEX(Library!$E$3:$E$58,MATCH(C122,Library!$B$3:$B$58,0))))</x:f>
        <x:v>0.03</x:v>
      </x:c>
      <x:c r="M122" s="58" t="n">
        <x:f aca="0">IF(COUNT(J122:L122)&lt;&gt;3,"",MIN(10,J122*(1+K122*L122)))</x:f>
        <x:v>2</x:v>
      </x:c>
      <x:c r="N122" s="58">
        <x:f>E122</x:f>
        <x:v>4</x:v>
      </x:c>
      <x:c r="O122" s="58">
        <x:f>IF(COUNT(M122:N122)&lt;&gt;2,"",M122*N122)</x:f>
        <x:v>8</x:v>
      </x:c>
      <x:c r="P122" s="58"/>
      <x:c r="Q122" s="58"/>
      <x:c r="R122" s="15"/>
      <x:c r="S122" s="15"/>
    </x:row>
    <x:row r="123" ht="24" hidden="0" customHeight="1">
      <x:c r="A123" s="79" t="n">
        <x:f aca="0">Daily!A29</x:f>
        <x:v>46372.5</x:v>
      </x:c>
      <x:c r="B123" s="16" t="str">
        <x:f aca="0">Daily!D29</x:f>
        <x:v>Handstand movement and strength</x:v>
      </x:c>
      <x:c r="C123" s="15" t="str">
        <x:v>Bar row</x:v>
      </x:c>
      <x:c r="D123" s="15" t="str">
        <x:v>reps</x:v>
      </x:c>
      <x:c r="E123" s="15" t="n">
        <x:v>4</x:v>
      </x:c>
      <x:c r="F123" s="15" t="n">
        <x:v>12</x:v>
      </x:c>
      <x:c r="G123" s="15" t="n">
        <x:f aca="0">E123*F123</x:f>
        <x:v>48</x:v>
      </x:c>
      <x:c r="H123" s="15" t="str">
        <x:f aca="0">IF(AND(Daily!G29=TRUE,COUNT(Daily!AF29,Daily!AG29,Daily!AH29,Daily!AI29)&gt;0),SUM(Daily!AF29,Daily!AG29,Daily!AH29,Daily!AI29),"")</x:f>
      </x:c>
      <x:c r="I123" s="58" t="str">
        <x:f aca="0">IF(AND(ISNUMBER(H123),G123&gt;0),100*H123/G123,"")</x:f>
      </x:c>
      <x:c r="J123" s="58" t="n">
        <x:f aca="0">IF(COUNTIF(Library!$B$3:$B$58,C123)&lt;&gt;1,"",INDEX(Library!$D$3:$D$58,MATCH(C123,Library!$B$3:$B$58,0)))</x:f>
        <x:v>4</x:v>
      </x:c>
      <x:c r="K123" s="59" t="n">
        <x:f aca="0">Daily!AK29</x:f>
        <x:v>0</x:v>
      </x:c>
      <x:c r="L123" s="60" t="n">
        <x:f aca="0">IF(COUNTIF(Library!$B$3:$B$58,C123)&lt;&gt;1,"",IF(COUNTIFS(Library!$B$3:$B$58,C123,Library!$E$3:$E$58,"&lt;&gt;")=0,0,INDEX(Library!$E$3:$E$58,MATCH(C123,Library!$B$3:$B$58,0))))</x:f>
        <x:v>0.04</x:v>
      </x:c>
      <x:c r="M123" s="58" t="n">
        <x:f aca="0">IF(COUNT(J123:L123)&lt;&gt;3,"",MIN(10,J123*(1+K123*L123)))</x:f>
        <x:v>4</x:v>
      </x:c>
      <x:c r="N123" s="58">
        <x:f>E123</x:f>
        <x:v>4</x:v>
      </x:c>
      <x:c r="O123" s="58">
        <x:f>IF(COUNT(M123:N123)&lt;&gt;2,"",M123*N123)</x:f>
        <x:v>16</x:v>
      </x:c>
      <x:c r="P123" s="58"/>
      <x:c r="Q123" s="58"/>
      <x:c r="R123" s="15"/>
      <x:c r="S123" s="15"/>
    </x:row>
    <x:row r="124" ht="24" hidden="0" customHeight="1">
      <x:c r="A124" s="79" t="n">
        <x:f aca="0">Daily!A30</x:f>
        <x:v>46374.5</x:v>
      </x:c>
      <x:c r="B124" s="16" t="str">
        <x:f aca="0">Daily!D30</x:f>
        <x:v>Muscle-up movement + Cal-Intervals</x:v>
      </x:c>
      <x:c r="C124" s="15" t="str">
        <x:v>Low-bar transition</x:v>
      </x:c>
      <x:c r="D124" s="15" t="str">
        <x:v>reps</x:v>
      </x:c>
      <x:c r="E124" s="15" t="n">
        <x:v>4</x:v>
      </x:c>
      <x:c r="F124" s="15" t="n">
        <x:v>3</x:v>
      </x:c>
      <x:c r="G124" s="15" t="n">
        <x:f aca="0">E124*F124</x:f>
        <x:v>12</x:v>
      </x:c>
      <x:c r="H124" s="15" t="str">
        <x:f aca="0">IF(AND(Daily!G30=TRUE,COUNT(Daily!H30,Daily!I30,Daily!J30,Daily!K30)&gt;0),SUM(Daily!H30,Daily!I30,Daily!J30,Daily!K30),"")</x:f>
      </x:c>
      <x:c r="I124" s="58" t="str">
        <x:f aca="0">IF(AND(ISNUMBER(H124),G124&gt;0),100*H124/G124,"")</x:f>
      </x:c>
      <x:c r="J124" s="58" t="n">
        <x:f aca="0">IF(COUNTIF(Library!$B$3:$B$58,C124)&lt;&gt;1,"",INDEX(Library!$D$3:$D$58,MATCH(C124,Library!$B$3:$B$58,0)))</x:f>
        <x:v>4</x:v>
      </x:c>
      <x:c r="K124" s="59" t="n">
        <x:f aca="0">Daily!M30</x:f>
        <x:v>0</x:v>
      </x:c>
      <x:c r="L124" s="60" t="n">
        <x:f aca="0">IF(COUNTIF(Library!$B$3:$B$58,C124)&lt;&gt;1,"",IF(COUNTIFS(Library!$B$3:$B$58,C124,Library!$E$3:$E$58,"&lt;&gt;")=0,0,INDEX(Library!$E$3:$E$58,MATCH(C124,Library!$B$3:$B$58,0))))</x:f>
        <x:v>0</x:v>
      </x:c>
      <x:c r="M124" s="58" t="n">
        <x:f aca="0">IF(COUNT(J124:L124)&lt;&gt;3,"",MIN(10,J124*(1+K124*L124)))</x:f>
        <x:v>4</x:v>
      </x:c>
      <x:c r="N124" s="58">
        <x:f>E124</x:f>
        <x:v>4</x:v>
      </x:c>
      <x:c r="O124" s="58">
        <x:f>IF(COUNT(M124:N124)&lt;&gt;2,"",M124*N124)</x:f>
        <x:v>16</x:v>
      </x:c>
      <x:c r="P124" s="58">
        <x:f>IF(COUNT(O124:O128)&lt;&gt;COUNT(N124:N128),"",ROUND(SUM(O124:O128)/SUM(N124:N128),1))</x:f>
        <x:v>4.4</x:v>
      </x:c>
      <x:c r="Q124" s="58" t="str">
        <x:f>IF(COUNT(I124:I128)=0,"",MEDIAN(I124:I128))</x:f>
      </x:c>
      <x:c r="R124" s="15" t="n">
        <x:f>COUNT(I124:I128)</x:f>
        <x:v>0</x:v>
      </x:c>
      <x:c r="S124" s="15" t="n">
        <x:v>5</x:v>
      </x:c>
    </x:row>
    <x:row r="125" ht="24" hidden="0" customHeight="1">
      <x:c r="A125" s="79" t="n">
        <x:f aca="0">Daily!A30</x:f>
        <x:v>46374.5</x:v>
      </x:c>
      <x:c r="B125" s="16" t="str">
        <x:f aca="0">Daily!D30</x:f>
        <x:v>Muscle-up movement + Cal-Intervals</x:v>
      </x:c>
      <x:c r="C125" s="15" t="str">
        <x:v>Handstand walk</x:v>
      </x:c>
      <x:c r="D125" s="15" t="str">
        <x:v>m</x:v>
      </x:c>
      <x:c r="E125" s="15" t="n">
        <x:v>4</x:v>
      </x:c>
      <x:c r="F125" s="15" t="n">
        <x:v>3</x:v>
      </x:c>
      <x:c r="G125" s="15" t="n">
        <x:f aca="0">E125*F125</x:f>
        <x:v>12</x:v>
      </x:c>
      <x:c r="H125" s="15" t="str">
        <x:f aca="0">IF(AND(Daily!G30=TRUE,COUNT(Daily!N30,Daily!O30,Daily!P30,Daily!Q30)&gt;0),SUM(Daily!N30,Daily!O30,Daily!P30,Daily!Q30),"")</x:f>
      </x:c>
      <x:c r="I125" s="58" t="str">
        <x:f aca="0">IF(AND(ISNUMBER(H125),G125&gt;0),100*H125/G125,"")</x:f>
      </x:c>
      <x:c r="J125" s="58" t="n">
        <x:f aca="0">IF(COUNTIF(Library!$B$3:$B$58,C125)&lt;&gt;1,"",INDEX(Library!$D$3:$D$58,MATCH(C125,Library!$B$3:$B$58,0)))</x:f>
        <x:v>3</x:v>
      </x:c>
      <x:c r="K125" s="59" t="n">
        <x:f aca="0">Daily!S30</x:f>
        <x:v>0</x:v>
      </x:c>
      <x:c r="L125" s="60" t="n">
        <x:f aca="0">IF(COUNTIF(Library!$B$3:$B$58,C125)&lt;&gt;1,"",IF(COUNTIFS(Library!$B$3:$B$58,C125,Library!$E$3:$E$58,"&lt;&gt;")=0,0,INDEX(Library!$E$3:$E$58,MATCH(C125,Library!$B$3:$B$58,0))))</x:f>
        <x:v>0</x:v>
      </x:c>
      <x:c r="M125" s="58" t="n">
        <x:f aca="0">IF(COUNT(J125:L125)&lt;&gt;3,"",MIN(10,J125*(1+K125*L125)))</x:f>
        <x:v>3</x:v>
      </x:c>
      <x:c r="N125" s="58">
        <x:f>E125</x:f>
        <x:v>4</x:v>
      </x:c>
      <x:c r="O125" s="58">
        <x:f>IF(COUNT(M125:N125)&lt;&gt;2,"",M125*N125)</x:f>
        <x:v>12</x:v>
      </x:c>
      <x:c r="P125" s="58"/>
      <x:c r="Q125" s="58"/>
      <x:c r="R125" s="15"/>
      <x:c r="S125" s="15"/>
    </x:row>
    <x:row r="126" ht="24" hidden="0" customHeight="1">
      <x:c r="A126" s="79" t="n">
        <x:f aca="0">Daily!A30</x:f>
        <x:v>46374.5</x:v>
      </x:c>
      <x:c r="B126" s="16" t="str">
        <x:f aca="0">Daily!D30</x:f>
        <x:v>Muscle-up movement + Cal-Intervals</x:v>
      </x:c>
      <x:c r="C126" s="15" t="str">
        <x:v>Straight-bar dip</x:v>
      </x:c>
      <x:c r="D126" s="15" t="str">
        <x:v>reps</x:v>
      </x:c>
      <x:c r="E126" s="15" t="n">
        <x:v>4</x:v>
      </x:c>
      <x:c r="F126" s="15" t="n">
        <x:v>8</x:v>
      </x:c>
      <x:c r="G126" s="15" t="n">
        <x:f aca="0">E126*F126</x:f>
        <x:v>32</x:v>
      </x:c>
      <x:c r="H126" s="15" t="str">
        <x:f aca="0">IF(AND(Daily!G30=TRUE,COUNT(Daily!T30,Daily!U30,Daily!V30,Daily!W30)&gt;0),SUM(Daily!T30,Daily!U30,Daily!V30,Daily!W30),"")</x:f>
      </x:c>
      <x:c r="I126" s="58" t="str">
        <x:f aca="0">IF(AND(ISNUMBER(H126),G126&gt;0),100*H126/G126,"")</x:f>
      </x:c>
      <x:c r="J126" s="58" t="n">
        <x:f aca="0">IF(COUNTIF(Library!$B$3:$B$58,C126)&lt;&gt;1,"",INDEX(Library!$D$3:$D$58,MATCH(C126,Library!$B$3:$B$58,0)))</x:f>
        <x:v>4</x:v>
      </x:c>
      <x:c r="K126" s="59" t="n">
        <x:f aca="0">Daily!Y30</x:f>
        <x:v>0</x:v>
      </x:c>
      <x:c r="L126" s="60" t="n">
        <x:f aca="0">IF(COUNTIF(Library!$B$3:$B$58,C126)&lt;&gt;1,"",IF(COUNTIFS(Library!$B$3:$B$58,C126,Library!$E$3:$E$58,"&lt;&gt;")=0,0,INDEX(Library!$E$3:$E$58,MATCH(C126,Library!$B$3:$B$58,0))))</x:f>
        <x:v>0.02</x:v>
      </x:c>
      <x:c r="M126" s="58" t="n">
        <x:f aca="0">IF(COUNT(J126:L126)&lt;&gt;3,"",MIN(10,J126*(1+K126*L126)))</x:f>
        <x:v>4</x:v>
      </x:c>
      <x:c r="N126" s="58">
        <x:f>E126</x:f>
        <x:v>4</x:v>
      </x:c>
      <x:c r="O126" s="58">
        <x:f>IF(COUNT(M126:N126)&lt;&gt;2,"",M126*N126)</x:f>
        <x:v>16</x:v>
      </x:c>
      <x:c r="P126" s="58"/>
      <x:c r="Q126" s="58"/>
      <x:c r="R126" s="15"/>
      <x:c r="S126" s="15"/>
    </x:row>
    <x:row r="127" ht="24" hidden="0" customHeight="1">
      <x:c r="A127" s="79" t="n">
        <x:f aca="0">Daily!A30</x:f>
        <x:v>46374.5</x:v>
      </x:c>
      <x:c r="B127" s="16" t="str">
        <x:f aca="0">Daily!D30</x:f>
        <x:v>Muscle-up movement + Cal-Intervals</x:v>
      </x:c>
      <x:c r="C127" s="15" t="str">
        <x:v>Elevated pike push-up</x:v>
      </x:c>
      <x:c r="D127" s="15" t="str">
        <x:v>reps</x:v>
      </x:c>
      <x:c r="E127" s="15" t="n">
        <x:v>4</x:v>
      </x:c>
      <x:c r="F127" s="15" t="n">
        <x:v>8</x:v>
      </x:c>
      <x:c r="G127" s="15" t="n">
        <x:f aca="0">E127*F127</x:f>
        <x:v>32</x:v>
      </x:c>
      <x:c r="H127" s="15" t="str">
        <x:f aca="0">IF(AND(Daily!G30=TRUE,COUNT(Daily!Z30,Daily!AA30,Daily!AB30,Daily!AC30)&gt;0),SUM(Daily!Z30,Daily!AA30,Daily!AB30,Daily!AC30),"")</x:f>
      </x:c>
      <x:c r="I127" s="58" t="str">
        <x:f aca="0">IF(AND(ISNUMBER(H127),G127&gt;0),100*H127/G127,"")</x:f>
      </x:c>
      <x:c r="J127" s="58" t="n">
        <x:f aca="0">IF(COUNTIF(Library!$B$3:$B$58,C127)&lt;&gt;1,"",INDEX(Library!$D$3:$D$58,MATCH(C127,Library!$B$3:$B$58,0)))</x:f>
        <x:v>4</x:v>
      </x:c>
      <x:c r="K127" s="59" t="n">
        <x:f aca="0">Daily!AE30</x:f>
        <x:v>0</x:v>
      </x:c>
      <x:c r="L127" s="60" t="n">
        <x:f aca="0">IF(COUNTIF(Library!$B$3:$B$58,C127)&lt;&gt;1,"",IF(COUNTIFS(Library!$B$3:$B$58,C127,Library!$E$3:$E$58,"&lt;&gt;")=0,0,INDEX(Library!$E$3:$E$58,MATCH(C127,Library!$B$3:$B$58,0))))</x:f>
        <x:v>0</x:v>
      </x:c>
      <x:c r="M127" s="58" t="n">
        <x:f aca="0">IF(COUNT(J127:L127)&lt;&gt;3,"",MIN(10,J127*(1+K127*L127)))</x:f>
        <x:v>4</x:v>
      </x:c>
      <x:c r="N127" s="58">
        <x:f>E127</x:f>
        <x:v>4</x:v>
      </x:c>
      <x:c r="O127" s="58">
        <x:f>IF(COUNT(M127:N127)&lt;&gt;2,"",M127*N127)</x:f>
        <x:v>16</x:v>
      </x:c>
      <x:c r="P127" s="58"/>
      <x:c r="Q127" s="58"/>
      <x:c r="R127" s="15"/>
      <x:c r="S127" s="15"/>
    </x:row>
    <x:row r="128" ht="24" hidden="0" customHeight="1">
      <x:c r="A128" s="79" t="n">
        <x:f aca="0">Daily!A30</x:f>
        <x:v>46374.5</x:v>
      </x:c>
      <x:c r="B128" s="16" t="str">
        <x:f aca="0">Daily!D30</x:f>
        <x:v>Muscle-up movement + Cal-Intervals</x:v>
      </x:c>
      <x:c r="C128" s="15" t="str">
        <x:v>Cal-Intervals</x:v>
      </x:c>
      <x:c r="D128" s="15" t="str">
        <x:v>rounds</x:v>
      </x:c>
      <x:c r="E128" s="15" t="n">
        <x:v>1</x:v>
      </x:c>
      <x:c r="F128" s="15" t="n">
        <x:v>5</x:v>
      </x:c>
      <x:c r="G128" s="15" t="n">
        <x:v>5</x:v>
      </x:c>
      <x:c r="H128" s="15" t="str">
        <x:f aca="0">IF(AND(Daily!G30=TRUE,ISNUMBER(Daily!AL30),Daily!AL30&gt;0),Daily!AL30,"")</x:f>
      </x:c>
      <x:c r="I128" s="58" t="str">
        <x:f aca="0">IF(ISNUMBER(H128),100*H128/G128,"")</x:f>
      </x:c>
      <x:c r="J128" s="58" t="n">
        <x:f aca="0">SUM(Library!F67:F70)/SUM(Library!E67:E70)</x:f>
        <x:v>5</x:v>
      </x:c>
      <x:c r="K128" s="59"/>
      <x:c r="L128" s="60"/>
      <x:c r="M128" s="58" t="n">
        <x:f aca="0">J128</x:f>
        <x:v>5</x:v>
      </x:c>
      <x:c r="N128" s="58">
        <x:f>G128*COUNT(Library!B67:B70)</x:f>
        <x:v>20</x:v>
      </x:c>
      <x:c r="O128" s="58">
        <x:f>IF(COUNT(M128:N128)&lt;&gt;2,"",M128*N128)</x:f>
        <x:v>100</x:v>
      </x:c>
      <x:c r="P128" s="58"/>
      <x:c r="Q128" s="58"/>
      <x:c r="R128" s="15"/>
      <x:c r="S128" s="15"/>
    </x:row>
    <x:row r="129" ht="24" hidden="0" customHeight="1">
      <x:c r="A129" s="79" t="n">
        <x:f aca="0">Daily!A31</x:f>
        <x:v>46377.5</x:v>
      </x:c>
      <x:c r="B129" s="16" t="str">
        <x:f aca="0">Daily!D31</x:f>
        <x:v>Pull and muscle-up strength</x:v>
      </x:c>
      <x:c r="C129" s="15" t="str">
        <x:v>High pull</x:v>
      </x:c>
      <x:c r="D129" s="15" t="str">
        <x:v>reps</x:v>
      </x:c>
      <x:c r="E129" s="15" t="n">
        <x:v>2</x:v>
      </x:c>
      <x:c r="F129" s="15" t="n">
        <x:v>3</x:v>
      </x:c>
      <x:c r="G129" s="15" t="n">
        <x:f aca="0">E129*F129</x:f>
        <x:v>6</x:v>
      </x:c>
      <x:c r="H129" s="15" t="str">
        <x:f aca="0">IF(AND(Daily!G31=TRUE,COUNT(Daily!H31,Daily!I31)&gt;0),SUM(Daily!H31,Daily!I31),"")</x:f>
      </x:c>
      <x:c r="I129" s="58" t="str">
        <x:f aca="0">IF(AND(ISNUMBER(H129),G129&gt;0),100*H129/G129,"")</x:f>
      </x:c>
      <x:c r="J129" s="58" t="n">
        <x:f aca="0">IF(COUNTIF(Library!$B$3:$B$58,C129)&lt;&gt;1,"",INDEX(Library!$D$3:$D$58,MATCH(C129,Library!$B$3:$B$58,0)))</x:f>
        <x:v>4</x:v>
      </x:c>
      <x:c r="K129" s="59" t="n">
        <x:f aca="0">Daily!M31</x:f>
        <x:v>0</x:v>
      </x:c>
      <x:c r="L129" s="60" t="n">
        <x:f aca="0">IF(COUNTIF(Library!$B$3:$B$58,C129)&lt;&gt;1,"",IF(COUNTIFS(Library!$B$3:$B$58,C129,Library!$E$3:$E$58,"&lt;&gt;")=0,0,INDEX(Library!$E$3:$E$58,MATCH(C129,Library!$B$3:$B$58,0))))</x:f>
        <x:v>0.04</x:v>
      </x:c>
      <x:c r="M129" s="58" t="n">
        <x:f aca="0">IF(COUNT(J129:L129)&lt;&gt;3,"",MIN(10,J129*(1+K129*L129)))</x:f>
        <x:v>4</x:v>
      </x:c>
      <x:c r="N129" s="58">
        <x:f>E129</x:f>
        <x:v>2</x:v>
      </x:c>
      <x:c r="O129" s="58">
        <x:f>IF(COUNT(M129:N129)&lt;&gt;2,"",M129*N129)</x:f>
        <x:v>8</x:v>
      </x:c>
      <x:c r="P129" s="58">
        <x:f>IF(COUNT(O129:O133)&lt;&gt;COUNT(N129:N133),"",ROUND(SUM(O129:O133)/SUM(N129:N133),1))</x:f>
        <x:v>4</x:v>
      </x:c>
      <x:c r="Q129" s="58" t="str">
        <x:f>IF(COUNT(I129:I133)=0,"",MEDIAN(I129:I133))</x:f>
      </x:c>
      <x:c r="R129" s="15" t="n">
        <x:f>COUNT(I129:I133)</x:f>
        <x:v>0</x:v>
      </x:c>
      <x:c r="S129" s="15" t="n">
        <x:v>5</x:v>
      </x:c>
    </x:row>
    <x:row r="130" ht="24" hidden="0" customHeight="1">
      <x:c r="A130" s="79" t="n">
        <x:f aca="0">Daily!A31</x:f>
        <x:v>46377.5</x:v>
      </x:c>
      <x:c r="B130" s="16" t="str">
        <x:f aca="0">Daily!D31</x:f>
        <x:v>Pull and muscle-up strength</x:v>
      </x:c>
      <x:c r="C130" s="15" t="str">
        <x:v>Pull-up</x:v>
      </x:c>
      <x:c r="D130" s="15" t="str">
        <x:v>reps</x:v>
      </x:c>
      <x:c r="E130" s="15" t="n">
        <x:v>2</x:v>
      </x:c>
      <x:c r="F130" s="15" t="n">
        <x:v>6</x:v>
      </x:c>
      <x:c r="G130" s="15" t="n">
        <x:f aca="0">E130*F130</x:f>
        <x:v>12</x:v>
      </x:c>
      <x:c r="H130" s="15" t="str">
        <x:f aca="0">IF(AND(Daily!G31=TRUE,COUNT(Daily!N31,Daily!O31)&gt;0),SUM(Daily!N31,Daily!O31),"")</x:f>
      </x:c>
      <x:c r="I130" s="58" t="str">
        <x:f aca="0">IF(AND(ISNUMBER(H130),G130&gt;0),100*H130/G130,"")</x:f>
      </x:c>
      <x:c r="J130" s="58" t="n">
        <x:f aca="0">IF(COUNTIF(Library!$B$3:$B$58,C130)&lt;&gt;1,"",INDEX(Library!$D$3:$D$58,MATCH(C130,Library!$B$3:$B$58,0)))</x:f>
        <x:v>6</x:v>
      </x:c>
      <x:c r="K130" s="59" t="n">
        <x:f aca="0">Daily!S31</x:f>
        <x:v>0</x:v>
      </x:c>
      <x:c r="L130" s="60" t="n">
        <x:f aca="0">IF(COUNTIF(Library!$B$3:$B$58,C130)&lt;&gt;1,"",IF(COUNTIFS(Library!$B$3:$B$58,C130,Library!$E$3:$E$58,"&lt;&gt;")=0,0,INDEX(Library!$E$3:$E$58,MATCH(C130,Library!$B$3:$B$58,0))))</x:f>
        <x:v>0.04</x:v>
      </x:c>
      <x:c r="M130" s="58" t="n">
        <x:f aca="0">IF(COUNT(J130:L130)&lt;&gt;3,"",MIN(10,J130*(1+K130*L130)))</x:f>
        <x:v>6</x:v>
      </x:c>
      <x:c r="N130" s="58">
        <x:f>E130</x:f>
        <x:v>2</x:v>
      </x:c>
      <x:c r="O130" s="58">
        <x:f>IF(COUNT(M130:N130)&lt;&gt;2,"",M130*N130)</x:f>
        <x:v>12</x:v>
      </x:c>
      <x:c r="P130" s="58"/>
      <x:c r="Q130" s="58"/>
      <x:c r="R130" s="15"/>
      <x:c r="S130" s="15"/>
    </x:row>
    <x:row r="131" ht="24" hidden="0" customHeight="1">
      <x:c r="A131" s="79" t="n">
        <x:f aca="0">Daily!A31</x:f>
        <x:v>46377.5</x:v>
      </x:c>
      <x:c r="B131" s="16" t="str">
        <x:f aca="0">Daily!D31</x:f>
        <x:v>Pull and muscle-up strength</x:v>
      </x:c>
      <x:c r="C131" s="15" t="str">
        <x:v>Parallel-bar dip</x:v>
      </x:c>
      <x:c r="D131" s="15" t="str">
        <x:v>reps</x:v>
      </x:c>
      <x:c r="E131" s="15" t="n">
        <x:v>2</x:v>
      </x:c>
      <x:c r="F131" s="15" t="n">
        <x:v>12</x:v>
      </x:c>
      <x:c r="G131" s="15" t="n">
        <x:f aca="0">E131*F131</x:f>
        <x:v>24</x:v>
      </x:c>
      <x:c r="H131" s="15" t="str">
        <x:f aca="0">IF(AND(Daily!G31=TRUE,COUNT(Daily!T31,Daily!U31)&gt;0),SUM(Daily!T31,Daily!U31),"")</x:f>
      </x:c>
      <x:c r="I131" s="58" t="str">
        <x:f aca="0">IF(AND(ISNUMBER(H131),G131&gt;0),100*H131/G131,"")</x:f>
      </x:c>
      <x:c r="J131" s="58" t="n">
        <x:f aca="0">IF(COUNTIF(Library!$B$3:$B$58,C131)&lt;&gt;1,"",INDEX(Library!$D$3:$D$58,MATCH(C131,Library!$B$3:$B$58,0)))</x:f>
        <x:v>4</x:v>
      </x:c>
      <x:c r="K131" s="59" t="n">
        <x:f aca="0">Daily!Y31</x:f>
        <x:v>0</x:v>
      </x:c>
      <x:c r="L131" s="60" t="n">
        <x:f aca="0">IF(COUNTIF(Library!$B$3:$B$58,C131)&lt;&gt;1,"",IF(COUNTIFS(Library!$B$3:$B$58,C131,Library!$E$3:$E$58,"&lt;&gt;")=0,0,INDEX(Library!$E$3:$E$58,MATCH(C131,Library!$B$3:$B$58,0))))</x:f>
        <x:v>0.02</x:v>
      </x:c>
      <x:c r="M131" s="58" t="n">
        <x:f aca="0">IF(COUNT(J131:L131)&lt;&gt;3,"",MIN(10,J131*(1+K131*L131)))</x:f>
        <x:v>4</x:v>
      </x:c>
      <x:c r="N131" s="58">
        <x:f>E131</x:f>
        <x:v>2</x:v>
      </x:c>
      <x:c r="O131" s="58">
        <x:f>IF(COUNT(M131:N131)&lt;&gt;2,"",M131*N131)</x:f>
        <x:v>8</x:v>
      </x:c>
      <x:c r="P131" s="58"/>
      <x:c r="Q131" s="58"/>
      <x:c r="R131" s="15"/>
      <x:c r="S131" s="15"/>
    </x:row>
    <x:row r="132" ht="24" hidden="0" customHeight="1">
      <x:c r="A132" s="79" t="n">
        <x:f aca="0">Daily!A31</x:f>
        <x:v>46377.5</x:v>
      </x:c>
      <x:c r="B132" s="16" t="str">
        <x:f aca="0">Daily!D31</x:f>
        <x:v>Pull and muscle-up strength</x:v>
      </x:c>
      <x:c r="C132" s="15" t="str">
        <x:v>Box pistol</x:v>
      </x:c>
      <x:c r="D132" s="15" t="str">
        <x:v>reps/leg</x:v>
      </x:c>
      <x:c r="E132" s="15" t="n">
        <x:v>2</x:v>
      </x:c>
      <x:c r="F132" s="15" t="n">
        <x:v>5</x:v>
      </x:c>
      <x:c r="G132" s="15" t="n">
        <x:f aca="0">E132*F132</x:f>
        <x:v>10</x:v>
      </x:c>
      <x:c r="H132" s="15" t="str">
        <x:f aca="0">IF(AND(Daily!G31=TRUE,COUNT(Daily!Z31,Daily!AA31)&gt;0),SUM(Daily!Z31,Daily!AA31),"")</x:f>
      </x:c>
      <x:c r="I132" s="58" t="str">
        <x:f aca="0">IF(AND(ISNUMBER(H132),G132&gt;0),100*H132/G132,"")</x:f>
      </x:c>
      <x:c r="J132" s="58" t="n">
        <x:f aca="0">IF(COUNTIF(Library!$B$3:$B$58,C132)&lt;&gt;1,"",INDEX(Library!$D$3:$D$58,MATCH(C132,Library!$B$3:$B$58,0)))</x:f>
        <x:v>2</x:v>
      </x:c>
      <x:c r="K132" s="59" t="n">
        <x:f aca="0">Daily!AE31</x:f>
        <x:v>0</x:v>
      </x:c>
      <x:c r="L132" s="60" t="n">
        <x:f aca="0">IF(COUNTIF(Library!$B$3:$B$58,C132)&lt;&gt;1,"",IF(COUNTIFS(Library!$B$3:$B$58,C132,Library!$E$3:$E$58,"&lt;&gt;")=0,0,INDEX(Library!$E$3:$E$58,MATCH(C132,Library!$B$3:$B$58,0))))</x:f>
        <x:v>0.03</x:v>
      </x:c>
      <x:c r="M132" s="58" t="n">
        <x:f aca="0">IF(COUNT(J132:L132)&lt;&gt;3,"",MIN(10,J132*(1+K132*L132)))</x:f>
        <x:v>2</x:v>
      </x:c>
      <x:c r="N132" s="58">
        <x:f>E132</x:f>
        <x:v>2</x:v>
      </x:c>
      <x:c r="O132" s="58">
        <x:f>IF(COUNT(M132:N132)&lt;&gt;2,"",M132*N132)</x:f>
        <x:v>4</x:v>
      </x:c>
      <x:c r="P132" s="58"/>
      <x:c r="Q132" s="58"/>
      <x:c r="R132" s="15"/>
      <x:c r="S132" s="15"/>
    </x:row>
    <x:row r="133" ht="24" hidden="0" customHeight="1">
      <x:c r="A133" s="79" t="n">
        <x:f aca="0">Daily!A31</x:f>
        <x:v>46377.5</x:v>
      </x:c>
      <x:c r="B133" s="16" t="str">
        <x:f aca="0">Daily!D31</x:f>
        <x:v>Pull and muscle-up strength</x:v>
      </x:c>
      <x:c r="C133" s="15" t="str">
        <x:v>Sliding hamstring curl</x:v>
      </x:c>
      <x:c r="D133" s="15" t="str">
        <x:v>reps</x:v>
      </x:c>
      <x:c r="E133" s="15" t="n">
        <x:v>2</x:v>
      </x:c>
      <x:c r="F133" s="15" t="n">
        <x:v>10</x:v>
      </x:c>
      <x:c r="G133" s="15" t="n">
        <x:f aca="0">E133*F133</x:f>
        <x:v>20</x:v>
      </x:c>
      <x:c r="H133" s="15" t="str">
        <x:f aca="0">IF(AND(Daily!G31=TRUE,COUNT(Daily!AF31,Daily!AG31)&gt;0),SUM(Daily!AF31,Daily!AG31),"")</x:f>
      </x:c>
      <x:c r="I133" s="58" t="str">
        <x:f aca="0">IF(AND(ISNUMBER(H133),G133&gt;0),100*H133/G133,"")</x:f>
      </x:c>
      <x:c r="J133" s="58" t="n">
        <x:f aca="0">IF(COUNTIF(Library!$B$3:$B$58,C133)&lt;&gt;1,"",INDEX(Library!$D$3:$D$58,MATCH(C133,Library!$B$3:$B$58,0)))</x:f>
        <x:v>4</x:v>
      </x:c>
      <x:c r="K133" s="59" t="n">
        <x:f aca="0">Daily!AK31</x:f>
        <x:v>0</x:v>
      </x:c>
      <x:c r="L133" s="60" t="n">
        <x:f aca="0">IF(COUNTIF(Library!$B$3:$B$58,C133)&lt;&gt;1,"",IF(COUNTIFS(Library!$B$3:$B$58,C133,Library!$E$3:$E$58,"&lt;&gt;")=0,0,INDEX(Library!$E$3:$E$58,MATCH(C133,Library!$B$3:$B$58,0))))</x:f>
        <x:v>0</x:v>
      </x:c>
      <x:c r="M133" s="58" t="n">
        <x:f aca="0">IF(COUNT(J133:L133)&lt;&gt;3,"",MIN(10,J133*(1+K133*L133)))</x:f>
        <x:v>4</x:v>
      </x:c>
      <x:c r="N133" s="58">
        <x:f>E133</x:f>
        <x:v>2</x:v>
      </x:c>
      <x:c r="O133" s="58">
        <x:f>IF(COUNT(M133:N133)&lt;&gt;2,"",M133*N133)</x:f>
        <x:v>8</x:v>
      </x:c>
      <x:c r="P133" s="58"/>
      <x:c r="Q133" s="58"/>
      <x:c r="R133" s="15"/>
      <x:c r="S133" s="15"/>
    </x:row>
    <x:row r="134" ht="24" hidden="0" customHeight="1">
      <x:c r="A134" s="79" t="n">
        <x:f aca="0">Daily!A32</x:f>
        <x:v>46378.5</x:v>
      </x:c>
      <x:c r="B134" s="16" t="str">
        <x:f aca="0">Daily!D32</x:f>
        <x:v>Optional movement practice</x:v>
      </x:c>
      <x:c r="C134" s="15" t="str">
        <x:v>Wrist/shoulder mobility</x:v>
      </x:c>
      <x:c r="D134" s="15" t="str">
        <x:v>seconds</x:v>
      </x:c>
      <x:c r="E134" s="15" t="n">
        <x:v>1</x:v>
      </x:c>
      <x:c r="F134" s="15" t="n">
        <x:v>120</x:v>
      </x:c>
      <x:c r="G134" s="15" t="n">
        <x:f aca="0">E134*F134</x:f>
        <x:v>120</x:v>
      </x:c>
      <x:c r="H134" s="15" t="str">
        <x:f aca="0">IF(AND(Daily!G32=TRUE,COUNT(Daily!H32)&gt;0),SUM(Daily!H32)*86400,"")</x:f>
      </x:c>
      <x:c r="I134" s="58" t="str">
        <x:f aca="0">IF(AND(ISNUMBER(H134),G134&gt;0),100*H134/G134,"")</x:f>
      </x:c>
      <x:c r="J134" s="58" t="n">
        <x:f aca="0">IF(COUNTIF(Library!$B$3:$B$58,C134)&lt;&gt;1,"",INDEX(Library!$D$3:$D$58,MATCH(C134,Library!$B$3:$B$58,0)))</x:f>
        <x:v>1</x:v>
      </x:c>
      <x:c r="K134" s="59" t="n">
        <x:f aca="0">Daily!M32</x:f>
        <x:v>0</x:v>
      </x:c>
      <x:c r="L134" s="60" t="n">
        <x:f aca="0">IF(COUNTIF(Library!$B$3:$B$58,C134)&lt;&gt;1,"",IF(COUNTIFS(Library!$B$3:$B$58,C134,Library!$E$3:$E$58,"&lt;&gt;")=0,0,INDEX(Library!$E$3:$E$58,MATCH(C134,Library!$B$3:$B$58,0))))</x:f>
        <x:v>0</x:v>
      </x:c>
      <x:c r="M134" s="58" t="n">
        <x:f aca="0">IF(COUNT(J134:L134)&lt;&gt;3,"",MIN(10,J134*(1+K134*L134)))</x:f>
        <x:v>1</x:v>
      </x:c>
      <x:c r="N134" s="58">
        <x:f>E134</x:f>
        <x:v>1</x:v>
      </x:c>
      <x:c r="O134" s="58">
        <x:f>IF(COUNT(M134:N134)&lt;&gt;2,"",M134*N134)</x:f>
        <x:v>1</x:v>
      </x:c>
      <x:c r="P134" s="58">
        <x:f>IF(COUNT(O134:O136)&lt;&gt;COUNT(N134:N136),"",ROUND(SUM(O134:O136)/SUM(N134:N136),1))</x:f>
        <x:v>1</x:v>
      </x:c>
      <x:c r="Q134" s="58" t="str">
        <x:f>IF(COUNT(I134:I136)=0,"",MEDIAN(I134:I136))</x:f>
      </x:c>
      <x:c r="R134" s="15" t="n">
        <x:f>COUNT(I134:I136)</x:f>
        <x:v>0</x:v>
      </x:c>
      <x:c r="S134" s="15" t="n">
        <x:v>3</x:v>
      </x:c>
    </x:row>
    <x:row r="135" ht="24" hidden="0" customHeight="1">
      <x:c r="A135" s="79" t="n">
        <x:f aca="0">Daily!A32</x:f>
        <x:v>46378.5</x:v>
      </x:c>
      <x:c r="B135" s="16" t="str">
        <x:f aca="0">Daily!D32</x:f>
        <x:v>Optional movement practice</x:v>
      </x:c>
      <x:c r="C135" s="15" t="str">
        <x:v>Easy handstand walk</x:v>
      </x:c>
      <x:c r="D135" s="15" t="str">
        <x:v>m</x:v>
      </x:c>
      <x:c r="E135" s="15" t="n">
        <x:v>3</x:v>
      </x:c>
      <x:c r="F135" s="15" t="n">
        <x:v>2</x:v>
      </x:c>
      <x:c r="G135" s="15" t="n">
        <x:f aca="0">E135*F135</x:f>
        <x:v>6</x:v>
      </x:c>
      <x:c r="H135" s="15" t="str">
        <x:f aca="0">IF(AND(Daily!G32=TRUE,COUNT(Daily!N32,Daily!O32,Daily!P32)&gt;0),SUM(Daily!N32,Daily!O32,Daily!P32),"")</x:f>
      </x:c>
      <x:c r="I135" s="58" t="str">
        <x:f aca="0">IF(AND(ISNUMBER(H135),G135&gt;0),100*H135/G135,"")</x:f>
      </x:c>
      <x:c r="J135" s="58" t="n">
        <x:f aca="0">IF(COUNTIF(Library!$B$3:$B$58,C135)&lt;&gt;1,"",INDEX(Library!$D$3:$D$58,MATCH(C135,Library!$B$3:$B$58,0)))</x:f>
        <x:v>1</x:v>
      </x:c>
      <x:c r="K135" s="59" t="n">
        <x:f aca="0">Daily!S32</x:f>
        <x:v>0</x:v>
      </x:c>
      <x:c r="L135" s="60" t="n">
        <x:f aca="0">IF(COUNTIF(Library!$B$3:$B$58,C135)&lt;&gt;1,"",IF(COUNTIFS(Library!$B$3:$B$58,C135,Library!$E$3:$E$58,"&lt;&gt;")=0,0,INDEX(Library!$E$3:$E$58,MATCH(C135,Library!$B$3:$B$58,0))))</x:f>
        <x:v>0</x:v>
      </x:c>
      <x:c r="M135" s="58" t="n">
        <x:f aca="0">IF(COUNT(J135:L135)&lt;&gt;3,"",MIN(10,J135*(1+K135*L135)))</x:f>
        <x:v>1</x:v>
      </x:c>
      <x:c r="N135" s="58">
        <x:f>E135</x:f>
        <x:v>3</x:v>
      </x:c>
      <x:c r="O135" s="58">
        <x:f>IF(COUNT(M135:N135)&lt;&gt;2,"",M135*N135)</x:f>
        <x:v>3</x:v>
      </x:c>
      <x:c r="P135" s="58"/>
      <x:c r="Q135" s="58"/>
      <x:c r="R135" s="15"/>
      <x:c r="S135" s="15"/>
    </x:row>
    <x:row r="136" ht="24" hidden="0" customHeight="1">
      <x:c r="A136" s="79" t="n">
        <x:f aca="0">Daily!A32</x:f>
        <x:v>46378.5</x:v>
      </x:c>
      <x:c r="B136" s="16" t="str">
        <x:f aca="0">Daily!D32</x:f>
        <x:v>Optional movement practice</x:v>
      </x:c>
      <x:c r="C136" s="15" t="str">
        <x:v>Easy bear crawl</x:v>
      </x:c>
      <x:c r="D136" s="15" t="str">
        <x:v>seconds</x:v>
      </x:c>
      <x:c r="E136" s="15" t="n">
        <x:v>3</x:v>
      </x:c>
      <x:c r="F136" s="15" t="n">
        <x:v>20</x:v>
      </x:c>
      <x:c r="G136" s="15" t="n">
        <x:f aca="0">E136*F136</x:f>
        <x:v>60</x:v>
      </x:c>
      <x:c r="H136" s="15" t="str">
        <x:f aca="0">IF(AND(Daily!G32=TRUE,COUNT(Daily!T32,Daily!U32,Daily!V32)&gt;0),SUM(Daily!T32,Daily!U32,Daily!V32)*86400,"")</x:f>
      </x:c>
      <x:c r="I136" s="58" t="str">
        <x:f aca="0">IF(AND(ISNUMBER(H136),G136&gt;0),100*H136/G136,"")</x:f>
      </x:c>
      <x:c r="J136" s="58" t="n">
        <x:f aca="0">IF(COUNTIF(Library!$B$3:$B$58,C136)&lt;&gt;1,"",INDEX(Library!$D$3:$D$58,MATCH(C136,Library!$B$3:$B$58,0)))</x:f>
        <x:v>1</x:v>
      </x:c>
      <x:c r="K136" s="59" t="n">
        <x:f aca="0">Daily!Y32</x:f>
        <x:v>0</x:v>
      </x:c>
      <x:c r="L136" s="60" t="n">
        <x:f aca="0">IF(COUNTIF(Library!$B$3:$B$58,C136)&lt;&gt;1,"",IF(COUNTIFS(Library!$B$3:$B$58,C136,Library!$E$3:$E$58,"&lt;&gt;")=0,0,INDEX(Library!$E$3:$E$58,MATCH(C136,Library!$B$3:$B$58,0))))</x:f>
        <x:v>0</x:v>
      </x:c>
      <x:c r="M136" s="58" t="n">
        <x:f aca="0">IF(COUNT(J136:L136)&lt;&gt;3,"",MIN(10,J136*(1+K136*L136)))</x:f>
        <x:v>1</x:v>
      </x:c>
      <x:c r="N136" s="58">
        <x:f>E136</x:f>
        <x:v>3</x:v>
      </x:c>
      <x:c r="O136" s="58">
        <x:f>IF(COUNT(M136:N136)&lt;&gt;2,"",M136*N136)</x:f>
        <x:v>3</x:v>
      </x:c>
      <x:c r="P136" s="58"/>
      <x:c r="Q136" s="58"/>
      <x:c r="R136" s="15"/>
      <x:c r="S136" s="15"/>
    </x:row>
    <x:row r="137" ht="24" hidden="0" customHeight="1">
      <x:c r="A137" s="79" t="n">
        <x:f aca="0">Daily!A33</x:f>
        <x:v>46379.5</x:v>
      </x:c>
      <x:c r="B137" s="16" t="str">
        <x:f aca="0">Daily!D33</x:f>
        <x:v>Handstand movement and strength</x:v>
      </x:c>
      <x:c r="C137" s="15" t="str">
        <x:v>Handstand walk</x:v>
      </x:c>
      <x:c r="D137" s="15" t="str">
        <x:v>m</x:v>
      </x:c>
      <x:c r="E137" s="15" t="n">
        <x:v>2</x:v>
      </x:c>
      <x:c r="F137" s="15" t="n">
        <x:v>3</x:v>
      </x:c>
      <x:c r="G137" s="15" t="n">
        <x:f aca="0">E137*F137</x:f>
        <x:v>6</x:v>
      </x:c>
      <x:c r="H137" s="15" t="str">
        <x:f aca="0">IF(AND(Daily!G33=TRUE,COUNT(Daily!H33,Daily!I33)&gt;0),SUM(Daily!H33,Daily!I33),"")</x:f>
      </x:c>
      <x:c r="I137" s="58" t="str">
        <x:f aca="0">IF(AND(ISNUMBER(H137),G137&gt;0),100*H137/G137,"")</x:f>
      </x:c>
      <x:c r="J137" s="58" t="n">
        <x:f aca="0">IF(COUNTIF(Library!$B$3:$B$58,C137)&lt;&gt;1,"",INDEX(Library!$D$3:$D$58,MATCH(C137,Library!$B$3:$B$58,0)))</x:f>
        <x:v>3</x:v>
      </x:c>
      <x:c r="K137" s="59" t="n">
        <x:f aca="0">Daily!M33</x:f>
        <x:v>0</x:v>
      </x:c>
      <x:c r="L137" s="60" t="n">
        <x:f aca="0">IF(COUNTIF(Library!$B$3:$B$58,C137)&lt;&gt;1,"",IF(COUNTIFS(Library!$B$3:$B$58,C137,Library!$E$3:$E$58,"&lt;&gt;")=0,0,INDEX(Library!$E$3:$E$58,MATCH(C137,Library!$B$3:$B$58,0))))</x:f>
        <x:v>0</x:v>
      </x:c>
      <x:c r="M137" s="58" t="n">
        <x:f aca="0">IF(COUNT(J137:L137)&lt;&gt;3,"",MIN(10,J137*(1+K137*L137)))</x:f>
        <x:v>3</x:v>
      </x:c>
      <x:c r="N137" s="58">
        <x:f>E137</x:f>
        <x:v>2</x:v>
      </x:c>
      <x:c r="O137" s="58">
        <x:f>IF(COUNT(M137:N137)&lt;&gt;2,"",M137*N137)</x:f>
        <x:v>6</x:v>
      </x:c>
      <x:c r="P137" s="58">
        <x:f>IF(COUNT(O137:O141)&lt;&gt;COUNT(N137:N141),"",ROUND(SUM(O137:O141)/SUM(N137:N141),1))</x:f>
        <x:v>3.8</x:v>
      </x:c>
      <x:c r="Q137" s="58" t="str">
        <x:f>IF(COUNT(I137:I141)=0,"",MEDIAN(I137:I141))</x:f>
      </x:c>
      <x:c r="R137" s="15" t="n">
        <x:f>COUNT(I137:I141)</x:f>
        <x:v>0</x:v>
      </x:c>
      <x:c r="S137" s="15" t="n">
        <x:v>5</x:v>
      </x:c>
    </x:row>
    <x:row r="138" ht="24" hidden="0" customHeight="1">
      <x:c r="A138" s="79" t="n">
        <x:f aca="0">Daily!A33</x:f>
        <x:v>46379.5</x:v>
      </x:c>
      <x:c r="B138" s="16" t="str">
        <x:f aca="0">Daily!D33</x:f>
        <x:v>Handstand movement and strength</x:v>
      </x:c>
      <x:c r="C138" s="15" t="str">
        <x:v>Elevated pike push-up</x:v>
      </x:c>
      <x:c r="D138" s="15" t="str">
        <x:v>reps</x:v>
      </x:c>
      <x:c r="E138" s="15" t="n">
        <x:v>2</x:v>
      </x:c>
      <x:c r="F138" s="15" t="n">
        <x:v>8</x:v>
      </x:c>
      <x:c r="G138" s="15" t="n">
        <x:f>E138*F138</x:f>
        <x:v>16</x:v>
      </x:c>
      <x:c r="H138" s="15" t="str">
        <x:f aca="0">IF(AND(Daily!G33=TRUE,COUNT(Daily!N33,Daily!O33)&gt;0),SUM(Daily!N33,Daily!O33),"")</x:f>
      </x:c>
      <x:c r="I138" s="58" t="str">
        <x:f aca="0">IF(AND(ISNUMBER(H138),G138&gt;0),100*H138/G138,"")</x:f>
      </x:c>
      <x:c r="J138" s="58" t="n">
        <x:f aca="0">IF(COUNTIF(Library!$B$3:$B$58,C138)&lt;&gt;1,"",INDEX(Library!$D$3:$D$58,MATCH(C138,Library!$B$3:$B$58,0)))</x:f>
        <x:v>4</x:v>
      </x:c>
      <x:c r="K138" s="59" t="n">
        <x:f>Daily!S33</x:f>
        <x:v>0</x:v>
      </x:c>
      <x:c r="L138" s="60" t="n">
        <x:f>IF(COUNTIF(Library!$B$3:$B$58,C138)&lt;&gt;1,"",IF(COUNTIFS(Library!$B$3:$B$58,C138,Library!$E$3:$E$58,"&lt;&gt;")=0,0,INDEX(Library!$E$3:$E$58,MATCH(C138,Library!$B$3:$B$58,0))))</x:f>
        <x:v>0</x:v>
      </x:c>
      <x:c r="M138" s="58" t="n">
        <x:f aca="0">IF(COUNT(J138:L138)&lt;&gt;3,"",MIN(10,J138*(1+K138*L138)))</x:f>
        <x:v>4</x:v>
      </x:c>
      <x:c r="N138" s="58">
        <x:f>E138</x:f>
        <x:v>2</x:v>
      </x:c>
      <x:c r="O138" s="58">
        <x:f>IF(COUNT(M138:N138)&lt;&gt;2,"",M138*N138)</x:f>
        <x:v>8</x:v>
      </x:c>
      <x:c r="P138" s="58"/>
      <x:c r="Q138" s="58"/>
      <x:c r="R138" s="15"/>
      <x:c r="S138" s="15"/>
    </x:row>
    <x:row r="139" ht="24" hidden="0" customHeight="1">
      <x:c r="A139" s="79" t="n">
        <x:f aca="0">Daily!A33</x:f>
        <x:v>46379.5</x:v>
      </x:c>
      <x:c r="B139" s="16" t="str">
        <x:f aca="0">Daily!D33</x:f>
        <x:v>Handstand movement and strength</x:v>
      </x:c>
      <x:c r="C139" s="15" t="str">
        <x:v>Pull-up</x:v>
      </x:c>
      <x:c r="D139" s="15" t="str">
        <x:v>reps</x:v>
      </x:c>
      <x:c r="E139" s="15" t="n">
        <x:v>2</x:v>
      </x:c>
      <x:c r="F139" s="15" t="n">
        <x:v>6</x:v>
      </x:c>
      <x:c r="G139" s="15" t="n">
        <x:f aca="0">E139*F139</x:f>
        <x:v>12</x:v>
      </x:c>
      <x:c r="H139" s="15" t="str">
        <x:f aca="0">IF(AND(Daily!G33=TRUE,COUNT(Daily!T33,Daily!U33)&gt;0),SUM(Daily!T33,Daily!U33),"")</x:f>
      </x:c>
      <x:c r="I139" s="58" t="str">
        <x:f aca="0">IF(AND(ISNUMBER(H139),G139&gt;0),100*H139/G139,"")</x:f>
      </x:c>
      <x:c r="J139" s="58" t="n">
        <x:f aca="0">IF(COUNTIF(Library!$B$3:$B$58,C139)&lt;&gt;1,"",INDEX(Library!$D$3:$D$58,MATCH(C139,Library!$B$3:$B$58,0)))</x:f>
        <x:v>6</x:v>
      </x:c>
      <x:c r="K139" s="59" t="n">
        <x:f aca="0">Daily!Y33</x:f>
        <x:v>0</x:v>
      </x:c>
      <x:c r="L139" s="60" t="n">
        <x:f aca="0">IF(COUNTIF(Library!$B$3:$B$58,C139)&lt;&gt;1,"",IF(COUNTIFS(Library!$B$3:$B$58,C139,Library!$E$3:$E$58,"&lt;&gt;")=0,0,INDEX(Library!$E$3:$E$58,MATCH(C139,Library!$B$3:$B$58,0))))</x:f>
        <x:v>0.04</x:v>
      </x:c>
      <x:c r="M139" s="58" t="n">
        <x:f aca="0">IF(COUNT(J139:L139)&lt;&gt;3,"",MIN(10,J139*(1+K139*L139)))</x:f>
        <x:v>6</x:v>
      </x:c>
      <x:c r="N139" s="58">
        <x:f>E139</x:f>
        <x:v>2</x:v>
      </x:c>
      <x:c r="O139" s="58">
        <x:f>IF(COUNT(M139:N139)&lt;&gt;2,"",M139*N139)</x:f>
        <x:v>12</x:v>
      </x:c>
      <x:c r="P139" s="58"/>
      <x:c r="Q139" s="58"/>
      <x:c r="R139" s="15"/>
      <x:c r="S139" s="15"/>
    </x:row>
    <x:row r="140" ht="24" hidden="0" customHeight="1">
      <x:c r="A140" s="79" t="n">
        <x:f aca="0">Daily!A33</x:f>
        <x:v>46379.5</x:v>
      </x:c>
      <x:c r="B140" s="16" t="str">
        <x:f aca="0">Daily!D33</x:f>
        <x:v>Handstand movement and strength</x:v>
      </x:c>
      <x:c r="C140" s="15" t="str">
        <x:v>Box pistol</x:v>
      </x:c>
      <x:c r="D140" s="15" t="str">
        <x:v>reps/leg</x:v>
      </x:c>
      <x:c r="E140" s="15" t="n">
        <x:v>2</x:v>
      </x:c>
      <x:c r="F140" s="15" t="n">
        <x:v>5</x:v>
      </x:c>
      <x:c r="G140" s="15" t="n">
        <x:f aca="0">E140*F140</x:f>
        <x:v>10</x:v>
      </x:c>
      <x:c r="H140" s="15" t="str">
        <x:f aca="0">IF(AND(Daily!G33=TRUE,COUNT(Daily!Z33,Daily!AA33)&gt;0),SUM(Daily!Z33,Daily!AA33),"")</x:f>
      </x:c>
      <x:c r="I140" s="58" t="str">
        <x:f aca="0">IF(AND(ISNUMBER(H140),G140&gt;0),100*H140/G140,"")</x:f>
      </x:c>
      <x:c r="J140" s="58" t="n">
        <x:f aca="0">IF(COUNTIF(Library!$B$3:$B$58,C140)&lt;&gt;1,"",INDEX(Library!$D$3:$D$58,MATCH(C140,Library!$B$3:$B$58,0)))</x:f>
        <x:v>2</x:v>
      </x:c>
      <x:c r="K140" s="59" t="n">
        <x:f aca="0">Daily!AE33</x:f>
        <x:v>0</x:v>
      </x:c>
      <x:c r="L140" s="60" t="n">
        <x:f aca="0">IF(COUNTIF(Library!$B$3:$B$58,C140)&lt;&gt;1,"",IF(COUNTIFS(Library!$B$3:$B$58,C140,Library!$E$3:$E$58,"&lt;&gt;")=0,0,INDEX(Library!$E$3:$E$58,MATCH(C140,Library!$B$3:$B$58,0))))</x:f>
        <x:v>0.03</x:v>
      </x:c>
      <x:c r="M140" s="58" t="n">
        <x:f aca="0">IF(COUNT(J140:L140)&lt;&gt;3,"",MIN(10,J140*(1+K140*L140)))</x:f>
        <x:v>2</x:v>
      </x:c>
      <x:c r="N140" s="58">
        <x:f>E140</x:f>
        <x:v>2</x:v>
      </x:c>
      <x:c r="O140" s="58">
        <x:f>IF(COUNT(M140:N140)&lt;&gt;2,"",M140*N140)</x:f>
        <x:v>4</x:v>
      </x:c>
      <x:c r="P140" s="58"/>
      <x:c r="Q140" s="58"/>
      <x:c r="R140" s="15"/>
      <x:c r="S140" s="15"/>
    </x:row>
    <x:row r="141" ht="24" hidden="0" customHeight="1">
      <x:c r="A141" s="79" t="n">
        <x:f aca="0">Daily!A33</x:f>
        <x:v>46379.5</x:v>
      </x:c>
      <x:c r="B141" s="16" t="str">
        <x:f aca="0">Daily!D33</x:f>
        <x:v>Handstand movement and strength</x:v>
      </x:c>
      <x:c r="C141" s="15" t="str">
        <x:v>Bar row</x:v>
      </x:c>
      <x:c r="D141" s="15" t="str">
        <x:v>reps</x:v>
      </x:c>
      <x:c r="E141" s="15" t="n">
        <x:v>2</x:v>
      </x:c>
      <x:c r="F141" s="15" t="n">
        <x:v>12</x:v>
      </x:c>
      <x:c r="G141" s="15" t="n">
        <x:f aca="0">E141*F141</x:f>
        <x:v>24</x:v>
      </x:c>
      <x:c r="H141" s="15" t="str">
        <x:f aca="0">IF(AND(Daily!G33=TRUE,COUNT(Daily!AF33,Daily!AG33)&gt;0),SUM(Daily!AF33,Daily!AG33),"")</x:f>
      </x:c>
      <x:c r="I141" s="58" t="str">
        <x:f aca="0">IF(AND(ISNUMBER(H141),G141&gt;0),100*H141/G141,"")</x:f>
      </x:c>
      <x:c r="J141" s="58" t="n">
        <x:f aca="0">IF(COUNTIF(Library!$B$3:$B$58,C141)&lt;&gt;1,"",INDEX(Library!$D$3:$D$58,MATCH(C141,Library!$B$3:$B$58,0)))</x:f>
        <x:v>4</x:v>
      </x:c>
      <x:c r="K141" s="59" t="n">
        <x:f aca="0">Daily!AK33</x:f>
        <x:v>0</x:v>
      </x:c>
      <x:c r="L141" s="60" t="n">
        <x:f aca="0">IF(COUNTIF(Library!$B$3:$B$58,C141)&lt;&gt;1,"",IF(COUNTIFS(Library!$B$3:$B$58,C141,Library!$E$3:$E$58,"&lt;&gt;")=0,0,INDEX(Library!$E$3:$E$58,MATCH(C141,Library!$B$3:$B$58,0))))</x:f>
        <x:v>0.04</x:v>
      </x:c>
      <x:c r="M141" s="58" t="n">
        <x:f aca="0">IF(COUNT(J141:L141)&lt;&gt;3,"",MIN(10,J141*(1+K141*L141)))</x:f>
        <x:v>4</x:v>
      </x:c>
      <x:c r="N141" s="58">
        <x:f>E141</x:f>
        <x:v>2</x:v>
      </x:c>
      <x:c r="O141" s="58">
        <x:f>IF(COUNT(M141:N141)&lt;&gt;2,"",M141*N141)</x:f>
        <x:v>8</x:v>
      </x:c>
      <x:c r="P141" s="58"/>
      <x:c r="Q141" s="58"/>
      <x:c r="R141" s="15"/>
      <x:c r="S141" s="15"/>
    </x:row>
    <x:row r="142" ht="24" hidden="0" customHeight="1">
      <x:c r="A142" s="79" t="n">
        <x:f aca="0">Daily!A34</x:f>
        <x:v>46381.5</x:v>
      </x:c>
      <x:c r="B142" s="16" t="str">
        <x:f aca="0">Daily!D34</x:f>
        <x:v>Muscle-up movement + Cal-Intervals</x:v>
      </x:c>
      <x:c r="C142" s="15" t="str">
        <x:v>Low-bar transition</x:v>
      </x:c>
      <x:c r="D142" s="15" t="str">
        <x:v>reps</x:v>
      </x:c>
      <x:c r="E142" s="15" t="n">
        <x:v>2</x:v>
      </x:c>
      <x:c r="F142" s="15" t="n">
        <x:v>3</x:v>
      </x:c>
      <x:c r="G142" s="15" t="n">
        <x:f aca="0">E142*F142</x:f>
        <x:v>6</x:v>
      </x:c>
      <x:c r="H142" s="15" t="str">
        <x:f aca="0">IF(AND(Daily!G34=TRUE,COUNT(Daily!H34,Daily!I34)&gt;0),SUM(Daily!H34,Daily!I34),"")</x:f>
      </x:c>
      <x:c r="I142" s="58" t="str">
        <x:f aca="0">IF(AND(ISNUMBER(H142),G142&gt;0),100*H142/G142,"")</x:f>
      </x:c>
      <x:c r="J142" s="58" t="n">
        <x:f aca="0">IF(COUNTIF(Library!$B$3:$B$58,C142)&lt;&gt;1,"",INDEX(Library!$D$3:$D$58,MATCH(C142,Library!$B$3:$B$58,0)))</x:f>
        <x:v>4</x:v>
      </x:c>
      <x:c r="K142" s="59" t="n">
        <x:f aca="0">Daily!M34</x:f>
        <x:v>0</x:v>
      </x:c>
      <x:c r="L142" s="60" t="n">
        <x:f aca="0">IF(COUNTIF(Library!$B$3:$B$58,C142)&lt;&gt;1,"",IF(COUNTIFS(Library!$B$3:$B$58,C142,Library!$E$3:$E$58,"&lt;&gt;")=0,0,INDEX(Library!$E$3:$E$58,MATCH(C142,Library!$B$3:$B$58,0))))</x:f>
        <x:v>0</x:v>
      </x:c>
      <x:c r="M142" s="58" t="n">
        <x:f aca="0">IF(COUNT(J142:L142)&lt;&gt;3,"",MIN(10,J142*(1+K142*L142)))</x:f>
        <x:v>4</x:v>
      </x:c>
      <x:c r="N142" s="58">
        <x:f>E142</x:f>
        <x:v>2</x:v>
      </x:c>
      <x:c r="O142" s="58">
        <x:f>IF(COUNT(M142:N142)&lt;&gt;2,"",M142*N142)</x:f>
        <x:v>8</x:v>
      </x:c>
      <x:c r="P142" s="58">
        <x:f>IF(COUNT(O142:O146)&lt;&gt;COUNT(N142:N146),"",ROUND(SUM(O142:O146)/SUM(N142:N146),1))</x:f>
        <x:v>4.5</x:v>
      </x:c>
      <x:c r="Q142" s="58" t="str">
        <x:f>IF(COUNT(I142:I146)=0,"",MEDIAN(I142:I146))</x:f>
      </x:c>
      <x:c r="R142" s="15" t="n">
        <x:f>COUNT(I142:I146)</x:f>
        <x:v>0</x:v>
      </x:c>
      <x:c r="S142" s="15" t="n">
        <x:v>5</x:v>
      </x:c>
    </x:row>
    <x:row r="143" ht="24" hidden="0" customHeight="1">
      <x:c r="A143" s="79" t="n">
        <x:f aca="0">Daily!A34</x:f>
        <x:v>46381.5</x:v>
      </x:c>
      <x:c r="B143" s="16" t="str">
        <x:f aca="0">Daily!D34</x:f>
        <x:v>Muscle-up movement + Cal-Intervals</x:v>
      </x:c>
      <x:c r="C143" s="15" t="str">
        <x:v>Handstand walk</x:v>
      </x:c>
      <x:c r="D143" s="15" t="str">
        <x:v>m</x:v>
      </x:c>
      <x:c r="E143" s="15" t="n">
        <x:v>2</x:v>
      </x:c>
      <x:c r="F143" s="15" t="n">
        <x:v>3</x:v>
      </x:c>
      <x:c r="G143" s="15" t="n">
        <x:f aca="0">E143*F143</x:f>
        <x:v>6</x:v>
      </x:c>
      <x:c r="H143" s="15" t="str">
        <x:f aca="0">IF(AND(Daily!G34=TRUE,COUNT(Daily!N34,Daily!O34)&gt;0),SUM(Daily!N34,Daily!O34),"")</x:f>
      </x:c>
      <x:c r="I143" s="58" t="str">
        <x:f aca="0">IF(AND(ISNUMBER(H143),G143&gt;0),100*H143/G143,"")</x:f>
      </x:c>
      <x:c r="J143" s="58" t="n">
        <x:f aca="0">IF(COUNTIF(Library!$B$3:$B$58,C143)&lt;&gt;1,"",INDEX(Library!$D$3:$D$58,MATCH(C143,Library!$B$3:$B$58,0)))</x:f>
        <x:v>3</x:v>
      </x:c>
      <x:c r="K143" s="59" t="n">
        <x:f aca="0">Daily!S34</x:f>
        <x:v>0</x:v>
      </x:c>
      <x:c r="L143" s="60" t="n">
        <x:f aca="0">IF(COUNTIF(Library!$B$3:$B$58,C143)&lt;&gt;1,"",IF(COUNTIFS(Library!$B$3:$B$58,C143,Library!$E$3:$E$58,"&lt;&gt;")=0,0,INDEX(Library!$E$3:$E$58,MATCH(C143,Library!$B$3:$B$58,0))))</x:f>
        <x:v>0</x:v>
      </x:c>
      <x:c r="M143" s="58" t="n">
        <x:f aca="0">IF(COUNT(J143:L143)&lt;&gt;3,"",MIN(10,J143*(1+K143*L143)))</x:f>
        <x:v>3</x:v>
      </x:c>
      <x:c r="N143" s="58">
        <x:f>E143</x:f>
        <x:v>2</x:v>
      </x:c>
      <x:c r="O143" s="58">
        <x:f>IF(COUNT(M143:N143)&lt;&gt;2,"",M143*N143)</x:f>
        <x:v>6</x:v>
      </x:c>
      <x:c r="P143" s="58"/>
      <x:c r="Q143" s="58"/>
      <x:c r="R143" s="15"/>
      <x:c r="S143" s="15"/>
    </x:row>
    <x:row r="144" ht="24" hidden="0" customHeight="1">
      <x:c r="A144" s="79" t="n">
        <x:f aca="0">Daily!A34</x:f>
        <x:v>46381.5</x:v>
      </x:c>
      <x:c r="B144" s="16" t="str">
        <x:f aca="0">Daily!D34</x:f>
        <x:v>Muscle-up movement + Cal-Intervals</x:v>
      </x:c>
      <x:c r="C144" s="15" t="str">
        <x:v>Straight-bar dip</x:v>
      </x:c>
      <x:c r="D144" s="15" t="str">
        <x:v>reps</x:v>
      </x:c>
      <x:c r="E144" s="15" t="n">
        <x:v>2</x:v>
      </x:c>
      <x:c r="F144" s="15" t="n">
        <x:v>8</x:v>
      </x:c>
      <x:c r="G144" s="15" t="n">
        <x:f aca="0">E144*F144</x:f>
        <x:v>16</x:v>
      </x:c>
      <x:c r="H144" s="15" t="str">
        <x:f aca="0">IF(AND(Daily!G34=TRUE,COUNT(Daily!T34,Daily!U34)&gt;0),SUM(Daily!T34,Daily!U34),"")</x:f>
      </x:c>
      <x:c r="I144" s="58" t="str">
        <x:f aca="0">IF(AND(ISNUMBER(H144),G144&gt;0),100*H144/G144,"")</x:f>
      </x:c>
      <x:c r="J144" s="58" t="n">
        <x:f aca="0">IF(COUNTIF(Library!$B$3:$B$58,C144)&lt;&gt;1,"",INDEX(Library!$D$3:$D$58,MATCH(C144,Library!$B$3:$B$58,0)))</x:f>
        <x:v>4</x:v>
      </x:c>
      <x:c r="K144" s="59" t="n">
        <x:f aca="0">Daily!Y34</x:f>
        <x:v>0</x:v>
      </x:c>
      <x:c r="L144" s="60" t="n">
        <x:f aca="0">IF(COUNTIF(Library!$B$3:$B$58,C144)&lt;&gt;1,"",IF(COUNTIFS(Library!$B$3:$B$58,C144,Library!$E$3:$E$58,"&lt;&gt;")=0,0,INDEX(Library!$E$3:$E$58,MATCH(C144,Library!$B$3:$B$58,0))))</x:f>
        <x:v>0.02</x:v>
      </x:c>
      <x:c r="M144" s="58" t="n">
        <x:f aca="0">IF(COUNT(J144:L144)&lt;&gt;3,"",MIN(10,J144*(1+K144*L144)))</x:f>
        <x:v>4</x:v>
      </x:c>
      <x:c r="N144" s="58">
        <x:f>E144</x:f>
        <x:v>2</x:v>
      </x:c>
      <x:c r="O144" s="58">
        <x:f>IF(COUNT(M144:N144)&lt;&gt;2,"",M144*N144)</x:f>
        <x:v>8</x:v>
      </x:c>
      <x:c r="P144" s="58"/>
      <x:c r="Q144" s="58"/>
      <x:c r="R144" s="15"/>
      <x:c r="S144" s="15"/>
    </x:row>
    <x:row r="145" ht="24" hidden="0" customHeight="1">
      <x:c r="A145" s="79" t="n">
        <x:f aca="0">Daily!A34</x:f>
        <x:v>46381.5</x:v>
      </x:c>
      <x:c r="B145" s="16" t="str">
        <x:f aca="0">Daily!D34</x:f>
        <x:v>Muscle-up movement + Cal-Intervals</x:v>
      </x:c>
      <x:c r="C145" s="15" t="str">
        <x:v>Elevated pike push-up</x:v>
      </x:c>
      <x:c r="D145" s="15" t="str">
        <x:v>reps</x:v>
      </x:c>
      <x:c r="E145" s="15" t="n">
        <x:v>2</x:v>
      </x:c>
      <x:c r="F145" s="15" t="n">
        <x:v>8</x:v>
      </x:c>
      <x:c r="G145" s="15" t="n">
        <x:f aca="0">E145*F145</x:f>
        <x:v>16</x:v>
      </x:c>
      <x:c r="H145" s="15" t="str">
        <x:f aca="0">IF(AND(Daily!G34=TRUE,COUNT(Daily!Z34,Daily!AA34)&gt;0),SUM(Daily!Z34,Daily!AA34),"")</x:f>
      </x:c>
      <x:c r="I145" s="58" t="str">
        <x:f aca="0">IF(AND(ISNUMBER(H145),G145&gt;0),100*H145/G145,"")</x:f>
      </x:c>
      <x:c r="J145" s="58" t="n">
        <x:f aca="0">IF(COUNTIF(Library!$B$3:$B$58,C145)&lt;&gt;1,"",INDEX(Library!$D$3:$D$58,MATCH(C145,Library!$B$3:$B$58,0)))</x:f>
        <x:v>4</x:v>
      </x:c>
      <x:c r="K145" s="59" t="n">
        <x:f aca="0">Daily!AE34</x:f>
        <x:v>0</x:v>
      </x:c>
      <x:c r="L145" s="60" t="n">
        <x:f aca="0">IF(COUNTIF(Library!$B$3:$B$58,C145)&lt;&gt;1,"",IF(COUNTIFS(Library!$B$3:$B$58,C145,Library!$E$3:$E$58,"&lt;&gt;")=0,0,INDEX(Library!$E$3:$E$58,MATCH(C145,Library!$B$3:$B$58,0))))</x:f>
        <x:v>0</x:v>
      </x:c>
      <x:c r="M145" s="58" t="n">
        <x:f aca="0">IF(COUNT(J145:L145)&lt;&gt;3,"",MIN(10,J145*(1+K145*L145)))</x:f>
        <x:v>4</x:v>
      </x:c>
      <x:c r="N145" s="58">
        <x:f>E145</x:f>
        <x:v>2</x:v>
      </x:c>
      <x:c r="O145" s="58">
        <x:f>IF(COUNT(M145:N145)&lt;&gt;2,"",M145*N145)</x:f>
        <x:v>8</x:v>
      </x:c>
      <x:c r="P145" s="58"/>
      <x:c r="Q145" s="58"/>
      <x:c r="R145" s="15"/>
      <x:c r="S145" s="15"/>
    </x:row>
    <x:row r="146" ht="24" hidden="0" customHeight="1">
      <x:c r="A146" s="79" t="n">
        <x:f aca="0">Daily!A34</x:f>
        <x:v>46381.5</x:v>
      </x:c>
      <x:c r="B146" s="16" t="str">
        <x:f aca="0">Daily!D34</x:f>
        <x:v>Muscle-up movement + Cal-Intervals</x:v>
      </x:c>
      <x:c r="C146" s="15" t="str">
        <x:v>Cal-Intervals</x:v>
      </x:c>
      <x:c r="D146" s="15" t="str">
        <x:v>rounds</x:v>
      </x:c>
      <x:c r="E146" s="15" t="n">
        <x:v>1</x:v>
      </x:c>
      <x:c r="F146" s="15" t="n">
        <x:v>3</x:v>
      </x:c>
      <x:c r="G146" s="15" t="n">
        <x:v>3</x:v>
      </x:c>
      <x:c r="H146" s="15" t="str">
        <x:f aca="0">IF(AND(Daily!G34=TRUE,ISNUMBER(Daily!AL34),Daily!AL34&gt;0),Daily!AL34,"")</x:f>
      </x:c>
      <x:c r="I146" s="58" t="str">
        <x:f aca="0">IF(ISNUMBER(H146),100*H146/G146,"")</x:f>
      </x:c>
      <x:c r="J146" s="58" t="n">
        <x:f aca="0">SUM(Library!F67:F70)/SUM(Library!E67:E70)</x:f>
        <x:v>5</x:v>
      </x:c>
      <x:c r="K146" s="59"/>
      <x:c r="L146" s="60"/>
      <x:c r="M146" s="58" t="n">
        <x:f aca="0">J146</x:f>
        <x:v>5</x:v>
      </x:c>
      <x:c r="N146" s="58">
        <x:f>G146*COUNT(Library!B67:B70)</x:f>
        <x:v>12</x:v>
      </x:c>
      <x:c r="O146" s="58">
        <x:f>IF(COUNT(M146:N146)&lt;&gt;2,"",M146*N146)</x:f>
        <x:v>60</x:v>
      </x:c>
      <x:c r="P146" s="58"/>
      <x:c r="Q146" s="58"/>
      <x:c r="R146" s="15"/>
      <x:c r="S146" s="15"/>
    </x:row>
    <x:row r="147" ht="24" hidden="0" customHeight="1">
      <x:c r="A147" s="79" t="n">
        <x:f aca="0">Daily!A35</x:f>
        <x:v>46384.5</x:v>
      </x:c>
      <x:c r="B147" s="16" t="str">
        <x:f aca="0">Daily!D35</x:f>
        <x:v>Pull and muscle-up strength</x:v>
      </x:c>
      <x:c r="C147" s="15" t="str">
        <x:v>High pull</x:v>
      </x:c>
      <x:c r="D147" s="15" t="str">
        <x:v>reps</x:v>
      </x:c>
      <x:c r="E147" s="15" t="n">
        <x:v>4</x:v>
      </x:c>
      <x:c r="F147" s="15" t="n">
        <x:v>3</x:v>
      </x:c>
      <x:c r="G147" s="15" t="n">
        <x:f aca="0">E147*F147</x:f>
        <x:v>12</x:v>
      </x:c>
      <x:c r="H147" s="15" t="str">
        <x:f aca="0">IF(AND(Daily!G35=TRUE,COUNT(Daily!H35,Daily!I35,Daily!J35,Daily!K35)&gt;0),SUM(Daily!H35,Daily!I35,Daily!J35,Daily!K35),"")</x:f>
      </x:c>
      <x:c r="I147" s="58" t="str">
        <x:f aca="0">IF(AND(ISNUMBER(H147),G147&gt;0),100*H147/G147,"")</x:f>
      </x:c>
      <x:c r="J147" s="58" t="n">
        <x:f aca="0">IF(COUNTIF(Library!$B$3:$B$58,C147)&lt;&gt;1,"",INDEX(Library!$D$3:$D$58,MATCH(C147,Library!$B$3:$B$58,0)))</x:f>
        <x:v>4</x:v>
      </x:c>
      <x:c r="K147" s="59" t="n">
        <x:f aca="0">Daily!M35</x:f>
        <x:v>0</x:v>
      </x:c>
      <x:c r="L147" s="60" t="n">
        <x:f aca="0">IF(COUNTIF(Library!$B$3:$B$58,C147)&lt;&gt;1,"",IF(COUNTIFS(Library!$B$3:$B$58,C147,Library!$E$3:$E$58,"&lt;&gt;")=0,0,INDEX(Library!$E$3:$E$58,MATCH(C147,Library!$B$3:$B$58,0))))</x:f>
        <x:v>0.04</x:v>
      </x:c>
      <x:c r="M147" s="58" t="n">
        <x:f aca="0">IF(COUNT(J147:L147)&lt;&gt;3,"",MIN(10,J147*(1+K147*L147)))</x:f>
        <x:v>4</x:v>
      </x:c>
      <x:c r="N147" s="58">
        <x:f>E147</x:f>
        <x:v>4</x:v>
      </x:c>
      <x:c r="O147" s="58">
        <x:f>IF(COUNT(M147:N147)&lt;&gt;2,"",M147*N147)</x:f>
        <x:v>16</x:v>
      </x:c>
      <x:c r="P147" s="58">
        <x:f>IF(COUNT(O147:O151)&lt;&gt;COUNT(N147:N151),"",ROUND(SUM(O147:O151)/SUM(N147:N151),1))</x:f>
        <x:v>4</x:v>
      </x:c>
      <x:c r="Q147" s="58" t="str">
        <x:f aca="0">IF(COUNT(I147:I151)=0,"",MEDIAN(I147:I151))</x:f>
      </x:c>
      <x:c r="R147" s="15" t="n">
        <x:f aca="0">COUNT(I147:I151)</x:f>
        <x:v>0</x:v>
      </x:c>
      <x:c r="S147" s="15" t="n">
        <x:v>5</x:v>
      </x:c>
    </x:row>
    <x:row r="148" ht="24" hidden="0" customHeight="1">
      <x:c r="A148" s="79" t="n">
        <x:f aca="0">Daily!A35</x:f>
        <x:v>46384.5</x:v>
      </x:c>
      <x:c r="B148" s="16" t="str">
        <x:f aca="0">Daily!D35</x:f>
        <x:v>Pull and muscle-up strength</x:v>
      </x:c>
      <x:c r="C148" s="15" t="str">
        <x:v>Pull-up</x:v>
      </x:c>
      <x:c r="D148" s="15" t="str">
        <x:v>reps</x:v>
      </x:c>
      <x:c r="E148" s="15" t="n">
        <x:v>4</x:v>
      </x:c>
      <x:c r="F148" s="15" t="n">
        <x:v>6</x:v>
      </x:c>
      <x:c r="G148" s="15" t="n">
        <x:f aca="0">E148*F148</x:f>
        <x:v>24</x:v>
      </x:c>
      <x:c r="H148" s="15" t="str">
        <x:f aca="0">IF(AND(Daily!G35=TRUE,COUNT(Daily!N35,Daily!O35,Daily!P35,Daily!Q35)&gt;0),SUM(Daily!N35,Daily!O35,Daily!P35,Daily!Q35),"")</x:f>
      </x:c>
      <x:c r="I148" s="58" t="str">
        <x:f aca="0">IF(AND(ISNUMBER(H148),G148&gt;0),100*H148/G148,"")</x:f>
      </x:c>
      <x:c r="J148" s="58" t="n">
        <x:f aca="0">IF(COUNTIF(Library!$B$3:$B$58,C148)&lt;&gt;1,"",INDEX(Library!$D$3:$D$58,MATCH(C148,Library!$B$3:$B$58,0)))</x:f>
        <x:v>6</x:v>
      </x:c>
      <x:c r="K148" s="59" t="n">
        <x:f aca="0">Daily!S35</x:f>
        <x:v>0</x:v>
      </x:c>
      <x:c r="L148" s="60" t="n">
        <x:f aca="0">IF(COUNTIF(Library!$B$3:$B$58,C148)&lt;&gt;1,"",IF(COUNTIFS(Library!$B$3:$B$58,C148,Library!$E$3:$E$58,"&lt;&gt;")=0,0,INDEX(Library!$E$3:$E$58,MATCH(C148,Library!$B$3:$B$58,0))))</x:f>
        <x:v>0.04</x:v>
      </x:c>
      <x:c r="M148" s="58" t="n">
        <x:f aca="0">IF(COUNT(J148:L148)&lt;&gt;3,"",MIN(10,J148*(1+K148*L148)))</x:f>
        <x:v>6</x:v>
      </x:c>
      <x:c r="N148" s="58">
        <x:f>E148</x:f>
        <x:v>4</x:v>
      </x:c>
      <x:c r="O148" s="58">
        <x:f>IF(COUNT(M148:N148)&lt;&gt;2,"",M148*N148)</x:f>
        <x:v>24</x:v>
      </x:c>
      <x:c r="P148" s="58"/>
      <x:c r="Q148" s="58"/>
      <x:c r="R148" s="15"/>
      <x:c r="S148" s="15"/>
    </x:row>
    <x:row r="149" ht="24" hidden="0" customHeight="1">
      <x:c r="A149" s="79" t="n">
        <x:f aca="0">Daily!A35</x:f>
        <x:v>46384.5</x:v>
      </x:c>
      <x:c r="B149" s="16" t="str">
        <x:f aca="0">Daily!D35</x:f>
        <x:v>Pull and muscle-up strength</x:v>
      </x:c>
      <x:c r="C149" s="15" t="str">
        <x:v>Parallel-bar dip</x:v>
      </x:c>
      <x:c r="D149" s="15" t="str">
        <x:v>reps</x:v>
      </x:c>
      <x:c r="E149" s="15" t="n">
        <x:v>4</x:v>
      </x:c>
      <x:c r="F149" s="15" t="n">
        <x:v>12</x:v>
      </x:c>
      <x:c r="G149" s="15" t="n">
        <x:f aca="0">E149*F149</x:f>
        <x:v>48</x:v>
      </x:c>
      <x:c r="H149" s="15" t="str">
        <x:f aca="0">IF(AND(Daily!G35=TRUE,COUNT(Daily!T35,Daily!U35,Daily!V35,Daily!W35)&gt;0),SUM(Daily!T35,Daily!U35,Daily!V35,Daily!W35),"")</x:f>
      </x:c>
      <x:c r="I149" s="58" t="str">
        <x:f aca="0">IF(AND(ISNUMBER(H149),G149&gt;0),100*H149/G149,"")</x:f>
      </x:c>
      <x:c r="J149" s="58" t="n">
        <x:f aca="0">IF(COUNTIF(Library!$B$3:$B$58,C149)&lt;&gt;1,"",INDEX(Library!$D$3:$D$58,MATCH(C149,Library!$B$3:$B$58,0)))</x:f>
        <x:v>4</x:v>
      </x:c>
      <x:c r="K149" s="59" t="n">
        <x:f aca="0">Daily!Y35</x:f>
        <x:v>0</x:v>
      </x:c>
      <x:c r="L149" s="60" t="n">
        <x:f aca="0">IF(COUNTIF(Library!$B$3:$B$58,C149)&lt;&gt;1,"",IF(COUNTIFS(Library!$B$3:$B$58,C149,Library!$E$3:$E$58,"&lt;&gt;")=0,0,INDEX(Library!$E$3:$E$58,MATCH(C149,Library!$B$3:$B$58,0))))</x:f>
        <x:v>0.02</x:v>
      </x:c>
      <x:c r="M149" s="58" t="n">
        <x:f aca="0">IF(COUNT(J149:L149)&lt;&gt;3,"",MIN(10,J149*(1+K149*L149)))</x:f>
        <x:v>4</x:v>
      </x:c>
      <x:c r="N149" s="58">
        <x:f>E149</x:f>
        <x:v>4</x:v>
      </x:c>
      <x:c r="O149" s="58">
        <x:f>IF(COUNT(M149:N149)&lt;&gt;2,"",M149*N149)</x:f>
        <x:v>16</x:v>
      </x:c>
      <x:c r="P149" s="58"/>
      <x:c r="Q149" s="58"/>
      <x:c r="R149" s="15"/>
      <x:c r="S149" s="15"/>
    </x:row>
    <x:row r="150" ht="24" hidden="0" customHeight="1">
      <x:c r="A150" s="79" t="n">
        <x:f aca="0">Daily!A35</x:f>
        <x:v>46384.5</x:v>
      </x:c>
      <x:c r="B150" s="16" t="str">
        <x:f aca="0">Daily!D35</x:f>
        <x:v>Pull and muscle-up strength</x:v>
      </x:c>
      <x:c r="C150" s="15" t="str">
        <x:v>Box pistol</x:v>
      </x:c>
      <x:c r="D150" s="15" t="str">
        <x:v>reps/leg</x:v>
      </x:c>
      <x:c r="E150" s="15" t="n">
        <x:v>4</x:v>
      </x:c>
      <x:c r="F150" s="15" t="n">
        <x:v>5</x:v>
      </x:c>
      <x:c r="G150" s="15" t="n">
        <x:f aca="0">E150*F150</x:f>
        <x:v>20</x:v>
      </x:c>
      <x:c r="H150" s="15" t="str">
        <x:f aca="0">IF(AND(Daily!G35=TRUE,COUNT(Daily!Z35,Daily!AA35,Daily!AB35,Daily!AC35)&gt;0),SUM(Daily!Z35,Daily!AA35,Daily!AB35,Daily!AC35),"")</x:f>
      </x:c>
      <x:c r="I150" s="58" t="str">
        <x:f aca="0">IF(AND(ISNUMBER(H150),G150&gt;0),100*H150/G150,"")</x:f>
      </x:c>
      <x:c r="J150" s="58" t="n">
        <x:f aca="0">IF(COUNTIF(Library!$B$3:$B$58,C150)&lt;&gt;1,"",INDEX(Library!$D$3:$D$58,MATCH(C150,Library!$B$3:$B$58,0)))</x:f>
        <x:v>2</x:v>
      </x:c>
      <x:c r="K150" s="59" t="n">
        <x:f aca="0">Daily!AE35</x:f>
        <x:v>0</x:v>
      </x:c>
      <x:c r="L150" s="60" t="n">
        <x:f aca="0">IF(COUNTIF(Library!$B$3:$B$58,C150)&lt;&gt;1,"",IF(COUNTIFS(Library!$B$3:$B$58,C150,Library!$E$3:$E$58,"&lt;&gt;")=0,0,INDEX(Library!$E$3:$E$58,MATCH(C150,Library!$B$3:$B$58,0))))</x:f>
        <x:v>0.03</x:v>
      </x:c>
      <x:c r="M150" s="58" t="n">
        <x:f aca="0">IF(COUNT(J150:L150)&lt;&gt;3,"",MIN(10,J150*(1+K150*L150)))</x:f>
        <x:v>2</x:v>
      </x:c>
      <x:c r="N150" s="58">
        <x:f>E150</x:f>
        <x:v>4</x:v>
      </x:c>
      <x:c r="O150" s="58">
        <x:f>IF(COUNT(M150:N150)&lt;&gt;2,"",M150*N150)</x:f>
        <x:v>8</x:v>
      </x:c>
      <x:c r="P150" s="58"/>
      <x:c r="Q150" s="58"/>
      <x:c r="R150" s="15"/>
      <x:c r="S150" s="15"/>
    </x:row>
    <x:row r="151" ht="24" hidden="0" customHeight="1">
      <x:c r="A151" s="79" t="n">
        <x:f aca="0">Daily!A35</x:f>
        <x:v>46384.5</x:v>
      </x:c>
      <x:c r="B151" s="16" t="str">
        <x:f aca="0">Daily!D35</x:f>
        <x:v>Pull and muscle-up strength</x:v>
      </x:c>
      <x:c r="C151" s="15" t="str">
        <x:v>Sliding hamstring curl</x:v>
      </x:c>
      <x:c r="D151" s="15" t="str">
        <x:v>reps</x:v>
      </x:c>
      <x:c r="E151" s="15" t="n">
        <x:v>3</x:v>
      </x:c>
      <x:c r="F151" s="15" t="n">
        <x:v>10</x:v>
      </x:c>
      <x:c r="G151" s="15" t="n">
        <x:f aca="0">E151*F151</x:f>
        <x:v>30</x:v>
      </x:c>
      <x:c r="H151" s="15" t="str">
        <x:f aca="0">IF(AND(Daily!G35=TRUE,COUNT(Daily!AF35,Daily!AG35,Daily!AH35)&gt;0),SUM(Daily!AF35,Daily!AG35,Daily!AH35),"")</x:f>
      </x:c>
      <x:c r="I151" s="58" t="str">
        <x:f aca="0">IF(AND(ISNUMBER(H151),G151&gt;0),100*H151/G151,"")</x:f>
      </x:c>
      <x:c r="J151" s="58" t="n">
        <x:f aca="0">IF(COUNTIF(Library!$B$3:$B$58,C151)&lt;&gt;1,"",INDEX(Library!$D$3:$D$58,MATCH(C151,Library!$B$3:$B$58,0)))</x:f>
        <x:v>4</x:v>
      </x:c>
      <x:c r="K151" s="59" t="n">
        <x:f aca="0">Daily!AK35</x:f>
        <x:v>0</x:v>
      </x:c>
      <x:c r="L151" s="60" t="n">
        <x:f aca="0">IF(COUNTIF(Library!$B$3:$B$58,C151)&lt;&gt;1,"",IF(COUNTIFS(Library!$B$3:$B$58,C151,Library!$E$3:$E$58,"&lt;&gt;")=0,0,INDEX(Library!$E$3:$E$58,MATCH(C151,Library!$B$3:$B$58,0))))</x:f>
        <x:v>0</x:v>
      </x:c>
      <x:c r="M151" s="58" t="n">
        <x:f aca="0">IF(COUNT(J151:L151)&lt;&gt;3,"",MIN(10,J151*(1+K151*L151)))</x:f>
        <x:v>4</x:v>
      </x:c>
      <x:c r="N151" s="58">
        <x:f>E151</x:f>
        <x:v>3</x:v>
      </x:c>
      <x:c r="O151" s="58">
        <x:f>IF(COUNT(M151:N151)&lt;&gt;2,"",M151*N151)</x:f>
        <x:v>12</x:v>
      </x:c>
      <x:c r="P151" s="58"/>
      <x:c r="Q151" s="58"/>
      <x:c r="R151" s="15"/>
      <x:c r="S151" s="15"/>
    </x:row>
    <x:row r="152" ht="24" hidden="0" customHeight="1">
      <x:c r="A152" s="79" t="n">
        <x:f aca="0">Daily!A36</x:f>
        <x:v>46385.5</x:v>
      </x:c>
      <x:c r="B152" s="16" t="str">
        <x:f aca="0">Daily!D36</x:f>
        <x:v>Optional movement practice</x:v>
      </x:c>
      <x:c r="C152" s="15" t="str">
        <x:v>Wrist/shoulder mobility</x:v>
      </x:c>
      <x:c r="D152" s="15" t="str">
        <x:v>seconds</x:v>
      </x:c>
      <x:c r="E152" s="15" t="n">
        <x:v>1</x:v>
      </x:c>
      <x:c r="F152" s="15" t="n">
        <x:v>120</x:v>
      </x:c>
      <x:c r="G152" s="15" t="n">
        <x:f aca="0">E152*F152</x:f>
        <x:v>120</x:v>
      </x:c>
      <x:c r="H152" s="15" t="str">
        <x:f aca="0">IF(AND(Daily!G36=TRUE,COUNT(Daily!H36)&gt;0),SUM(Daily!H36)*86400,"")</x:f>
      </x:c>
      <x:c r="I152" s="58" t="str">
        <x:f aca="0">IF(AND(ISNUMBER(H152),G152&gt;0),100*H152/G152,"")</x:f>
      </x:c>
      <x:c r="J152" s="58" t="n">
        <x:f aca="0">IF(COUNTIF(Library!$B$3:$B$58,C152)&lt;&gt;1,"",INDEX(Library!$D$3:$D$58,MATCH(C152,Library!$B$3:$B$58,0)))</x:f>
        <x:v>1</x:v>
      </x:c>
      <x:c r="K152" s="59" t="n">
        <x:f aca="0">Daily!M36</x:f>
        <x:v>0</x:v>
      </x:c>
      <x:c r="L152" s="60" t="n">
        <x:f aca="0">IF(COUNTIF(Library!$B$3:$B$58,C152)&lt;&gt;1,"",IF(COUNTIFS(Library!$B$3:$B$58,C152,Library!$E$3:$E$58,"&lt;&gt;")=0,0,INDEX(Library!$E$3:$E$58,MATCH(C152,Library!$B$3:$B$58,0))))</x:f>
        <x:v>0</x:v>
      </x:c>
      <x:c r="M152" s="58" t="n">
        <x:f aca="0">IF(COUNT(J152:L152)&lt;&gt;3,"",MIN(10,J152*(1+K152*L152)))</x:f>
        <x:v>1</x:v>
      </x:c>
      <x:c r="N152" s="58">
        <x:f>E152</x:f>
        <x:v>1</x:v>
      </x:c>
      <x:c r="O152" s="58">
        <x:f>IF(COUNT(M152:N152)&lt;&gt;2,"",M152*N152)</x:f>
        <x:v>1</x:v>
      </x:c>
      <x:c r="P152" s="58">
        <x:f>IF(COUNT(O152:O154)&lt;&gt;COUNT(N152:N154),"",ROUND(SUM(O152:O154)/SUM(N152:N154),1))</x:f>
        <x:v>1</x:v>
      </x:c>
      <x:c r="Q152" s="58" t="str">
        <x:f aca="0">IF(COUNT(I152:I154)=0,"",MEDIAN(I152:I154))</x:f>
      </x:c>
      <x:c r="R152" s="15" t="n">
        <x:f aca="0">COUNT(I152:I154)</x:f>
        <x:v>0</x:v>
      </x:c>
      <x:c r="S152" s="15" t="n">
        <x:v>3</x:v>
      </x:c>
    </x:row>
    <x:row r="153" ht="24" hidden="0" customHeight="1">
      <x:c r="A153" s="79" t="n">
        <x:f aca="0">Daily!A36</x:f>
        <x:v>46385.5</x:v>
      </x:c>
      <x:c r="B153" s="16" t="str">
        <x:f aca="0">Daily!D36</x:f>
        <x:v>Optional movement practice</x:v>
      </x:c>
      <x:c r="C153" s="15" t="str">
        <x:v>Easy handstand walk</x:v>
      </x:c>
      <x:c r="D153" s="15" t="str">
        <x:v>m</x:v>
      </x:c>
      <x:c r="E153" s="15" t="n">
        <x:v>3</x:v>
      </x:c>
      <x:c r="F153" s="15" t="n">
        <x:v>2</x:v>
      </x:c>
      <x:c r="G153" s="15" t="n">
        <x:f aca="0">E153*F153</x:f>
        <x:v>6</x:v>
      </x:c>
      <x:c r="H153" s="15" t="str">
        <x:f aca="0">IF(AND(Daily!G36=TRUE,COUNT(Daily!N36,Daily!O36,Daily!P36)&gt;0),SUM(Daily!N36,Daily!O36,Daily!P36),"")</x:f>
      </x:c>
      <x:c r="I153" s="58" t="str">
        <x:f aca="0">IF(AND(ISNUMBER(H153),G153&gt;0),100*H153/G153,"")</x:f>
      </x:c>
      <x:c r="J153" s="58" t="n">
        <x:f aca="0">IF(COUNTIF(Library!$B$3:$B$58,C153)&lt;&gt;1,"",INDEX(Library!$D$3:$D$58,MATCH(C153,Library!$B$3:$B$58,0)))</x:f>
        <x:v>1</x:v>
      </x:c>
      <x:c r="K153" s="59" t="n">
        <x:f aca="0">Daily!S36</x:f>
        <x:v>0</x:v>
      </x:c>
      <x:c r="L153" s="60" t="n">
        <x:f aca="0">IF(COUNTIF(Library!$B$3:$B$58,C153)&lt;&gt;1,"",IF(COUNTIFS(Library!$B$3:$B$58,C153,Library!$E$3:$E$58,"&lt;&gt;")=0,0,INDEX(Library!$E$3:$E$58,MATCH(C153,Library!$B$3:$B$58,0))))</x:f>
        <x:v>0</x:v>
      </x:c>
      <x:c r="M153" s="58" t="n">
        <x:f aca="0">IF(COUNT(J153:L153)&lt;&gt;3,"",MIN(10,J153*(1+K153*L153)))</x:f>
        <x:v>1</x:v>
      </x:c>
      <x:c r="N153" s="58">
        <x:f>E153</x:f>
        <x:v>3</x:v>
      </x:c>
      <x:c r="O153" s="58">
        <x:f>IF(COUNT(M153:N153)&lt;&gt;2,"",M153*N153)</x:f>
        <x:v>3</x:v>
      </x:c>
      <x:c r="P153" s="58"/>
      <x:c r="Q153" s="58"/>
      <x:c r="R153" s="15"/>
      <x:c r="S153" s="15"/>
    </x:row>
    <x:row r="154" ht="24" hidden="0" customHeight="1">
      <x:c r="A154" s="79" t="n">
        <x:f aca="0">Daily!A36</x:f>
        <x:v>46385.5</x:v>
      </x:c>
      <x:c r="B154" s="16" t="str">
        <x:f aca="0">Daily!D36</x:f>
        <x:v>Optional movement practice</x:v>
      </x:c>
      <x:c r="C154" s="15" t="str">
        <x:v>Easy bear crawl</x:v>
      </x:c>
      <x:c r="D154" s="15" t="str">
        <x:v>seconds</x:v>
      </x:c>
      <x:c r="E154" s="15" t="n">
        <x:v>3</x:v>
      </x:c>
      <x:c r="F154" s="15" t="n">
        <x:v>20</x:v>
      </x:c>
      <x:c r="G154" s="15" t="n">
        <x:f aca="0">E154*F154</x:f>
        <x:v>60</x:v>
      </x:c>
      <x:c r="H154" s="15" t="str">
        <x:f aca="0">IF(AND(Daily!G36=TRUE,COUNT(Daily!T36,Daily!U36,Daily!V36)&gt;0),SUM(Daily!T36,Daily!U36,Daily!V36)*86400,"")</x:f>
      </x:c>
      <x:c r="I154" s="58" t="str">
        <x:f aca="0">IF(AND(ISNUMBER(H154),G154&gt;0),100*H154/G154,"")</x:f>
      </x:c>
      <x:c r="J154" s="58" t="n">
        <x:f aca="0">IF(COUNTIF(Library!$B$3:$B$58,C154)&lt;&gt;1,"",INDEX(Library!$D$3:$D$58,MATCH(C154,Library!$B$3:$B$58,0)))</x:f>
        <x:v>1</x:v>
      </x:c>
      <x:c r="K154" s="59" t="n">
        <x:f aca="0">Daily!Y36</x:f>
        <x:v>0</x:v>
      </x:c>
      <x:c r="L154" s="60" t="n">
        <x:f aca="0">IF(COUNTIF(Library!$B$3:$B$58,C154)&lt;&gt;1,"",IF(COUNTIFS(Library!$B$3:$B$58,C154,Library!$E$3:$E$58,"&lt;&gt;")=0,0,INDEX(Library!$E$3:$E$58,MATCH(C154,Library!$B$3:$B$58,0))))</x:f>
        <x:v>0</x:v>
      </x:c>
      <x:c r="M154" s="58" t="n">
        <x:f aca="0">IF(COUNT(J154:L154)&lt;&gt;3,"",MIN(10,J154*(1+K154*L154)))</x:f>
        <x:v>1</x:v>
      </x:c>
      <x:c r="N154" s="58">
        <x:f>E154</x:f>
        <x:v>3</x:v>
      </x:c>
      <x:c r="O154" s="58">
        <x:f>IF(COUNT(M154:N154)&lt;&gt;2,"",M154*N154)</x:f>
        <x:v>3</x:v>
      </x:c>
      <x:c r="P154" s="58"/>
      <x:c r="Q154" s="58"/>
      <x:c r="R154" s="15"/>
      <x:c r="S154" s="15"/>
    </x:row>
    <x:row r="155" ht="24" hidden="0" customHeight="1">
      <x:c r="A155" s="79" t="n">
        <x:f aca="0">Daily!A37</x:f>
        <x:v>46386.5</x:v>
      </x:c>
      <x:c r="B155" s="16" t="str">
        <x:f aca="0">Daily!D37</x:f>
        <x:v>Handstand movement and strength</x:v>
      </x:c>
      <x:c r="C155" s="15" t="str">
        <x:v>Handstand walk</x:v>
      </x:c>
      <x:c r="D155" s="15" t="str">
        <x:v>m</x:v>
      </x:c>
      <x:c r="E155" s="15" t="n">
        <x:v>3</x:v>
      </x:c>
      <x:c r="F155" s="15" t="n">
        <x:v>3</x:v>
      </x:c>
      <x:c r="G155" s="15" t="n">
        <x:f>E155*F155</x:f>
        <x:v>9</x:v>
      </x:c>
      <x:c r="H155" s="15" t="str">
        <x:f aca="0">IF(AND(Daily!G37=TRUE,COUNT(Daily!H37,Daily!I37,Daily!J37)&gt;0),SUM(Daily!H37,Daily!I37,Daily!J37),"")</x:f>
      </x:c>
      <x:c r="I155" s="58" t="str">
        <x:f aca="0">IF(AND(ISNUMBER(H155),G155&gt;0),100*H155/G155,"")</x:f>
      </x:c>
      <x:c r="J155" s="58" t="n">
        <x:f aca="0">IF(COUNTIF(Library!$B$3:$B$58,C155)&lt;&gt;1,"",INDEX(Library!$D$3:$D$58,MATCH(C155,Library!$B$3:$B$58,0)))</x:f>
        <x:v>3</x:v>
      </x:c>
      <x:c r="K155" s="59" t="n">
        <x:f>Daily!M37</x:f>
        <x:v>0</x:v>
      </x:c>
      <x:c r="L155" s="60" t="n">
        <x:f>IF(COUNTIF(Library!$B$3:$B$58,C155)&lt;&gt;1,"",IF(COUNTIFS(Library!$B$3:$B$58,C155,Library!$E$3:$E$58,"&lt;&gt;")=0,0,INDEX(Library!$E$3:$E$58,MATCH(C155,Library!$B$3:$B$58,0))))</x:f>
        <x:v>0</x:v>
      </x:c>
      <x:c r="M155" s="58" t="n">
        <x:f aca="0">IF(COUNT(J155:L155)&lt;&gt;3,"",MIN(10,J155*(1+K155*L155)))</x:f>
        <x:v>3</x:v>
      </x:c>
      <x:c r="N155" s="58">
        <x:f>E155</x:f>
        <x:v>3</x:v>
      </x:c>
      <x:c r="O155" s="58">
        <x:f>IF(COUNT(M155:N155)&lt;&gt;2,"",M155*N155)</x:f>
        <x:v>9</x:v>
      </x:c>
      <x:c r="P155" s="58">
        <x:f>IF(COUNT(O155:O159)&lt;&gt;COUNT(N155:N159),"",ROUND(SUM(O155:O159)/SUM(N155:N159),1))</x:f>
        <x:v>3.8</x:v>
      </x:c>
      <x:c r="Q155" s="58" t="str">
        <x:f>IF(COUNT(I155:I159)=0,"",MEDIAN(I155:I159))</x:f>
      </x:c>
      <x:c r="R155" s="15" t="n">
        <x:f>COUNT(I155:I159)</x:f>
        <x:v>0</x:v>
      </x:c>
      <x:c r="S155" s="15" t="n">
        <x:v>5</x:v>
      </x:c>
    </x:row>
    <x:row r="156" ht="24" hidden="0" customHeight="1">
      <x:c r="A156" s="79" t="n">
        <x:f aca="0">Daily!A37</x:f>
        <x:v>46386.5</x:v>
      </x:c>
      <x:c r="B156" s="16" t="str">
        <x:f aca="0">Daily!D37</x:f>
        <x:v>Handstand movement and strength</x:v>
      </x:c>
      <x:c r="C156" s="15" t="str">
        <x:v>Elevated pike push-up</x:v>
      </x:c>
      <x:c r="D156" s="15" t="str">
        <x:v>reps</x:v>
      </x:c>
      <x:c r="E156" s="15" t="n">
        <x:v>4</x:v>
      </x:c>
      <x:c r="F156" s="15" t="n">
        <x:v>8</x:v>
      </x:c>
      <x:c r="G156" s="15" t="n">
        <x:f aca="0">E156*F156</x:f>
        <x:v>32</x:v>
      </x:c>
      <x:c r="H156" s="15" t="str">
        <x:f aca="0">IF(AND(Daily!G37=TRUE,COUNT(Daily!N37,Daily!O37,Daily!P37,Daily!Q37)&gt;0),SUM(Daily!N37,Daily!O37,Daily!P37,Daily!Q37),"")</x:f>
      </x:c>
      <x:c r="I156" s="58" t="str">
        <x:f aca="0">IF(AND(ISNUMBER(H156),G156&gt;0),100*H156/G156,"")</x:f>
      </x:c>
      <x:c r="J156" s="58" t="n">
        <x:f aca="0">IF(COUNTIF(Library!$B$3:$B$58,C156)&lt;&gt;1,"",INDEX(Library!$D$3:$D$58,MATCH(C156,Library!$B$3:$B$58,0)))</x:f>
        <x:v>4</x:v>
      </x:c>
      <x:c r="K156" s="59" t="n">
        <x:f aca="0">Daily!S37</x:f>
        <x:v>0</x:v>
      </x:c>
      <x:c r="L156" s="60" t="n">
        <x:f aca="0">IF(COUNTIF(Library!$B$3:$B$58,C156)&lt;&gt;1,"",IF(COUNTIFS(Library!$B$3:$B$58,C156,Library!$E$3:$E$58,"&lt;&gt;")=0,0,INDEX(Library!$E$3:$E$58,MATCH(C156,Library!$B$3:$B$58,0))))</x:f>
        <x:v>0</x:v>
      </x:c>
      <x:c r="M156" s="58" t="n">
        <x:f aca="0">IF(COUNT(J156:L156)&lt;&gt;3,"",MIN(10,J156*(1+K156*L156)))</x:f>
        <x:v>4</x:v>
      </x:c>
      <x:c r="N156" s="58">
        <x:f>E156</x:f>
        <x:v>4</x:v>
      </x:c>
      <x:c r="O156" s="58">
        <x:f>IF(COUNT(M156:N156)&lt;&gt;2,"",M156*N156)</x:f>
        <x:v>16</x:v>
      </x:c>
      <x:c r="P156" s="58"/>
      <x:c r="Q156" s="58"/>
      <x:c r="R156" s="15"/>
      <x:c r="S156" s="15"/>
    </x:row>
    <x:row r="157" ht="24" hidden="0" customHeight="1">
      <x:c r="A157" s="79" t="n">
        <x:f aca="0">Daily!A37</x:f>
        <x:v>46386.5</x:v>
      </x:c>
      <x:c r="B157" s="16" t="str">
        <x:f aca="0">Daily!D37</x:f>
        <x:v>Handstand movement and strength</x:v>
      </x:c>
      <x:c r="C157" s="15" t="str">
        <x:v>Pull-up</x:v>
      </x:c>
      <x:c r="D157" s="15" t="str">
        <x:v>reps</x:v>
      </x:c>
      <x:c r="E157" s="15" t="n">
        <x:v>4</x:v>
      </x:c>
      <x:c r="F157" s="15" t="n">
        <x:v>6</x:v>
      </x:c>
      <x:c r="G157" s="15" t="n">
        <x:f aca="0">E157*F157</x:f>
        <x:v>24</x:v>
      </x:c>
      <x:c r="H157" s="15" t="str">
        <x:f aca="0">IF(AND(Daily!G37=TRUE,COUNT(Daily!T37,Daily!U37,Daily!V37,Daily!W37)&gt;0),SUM(Daily!T37,Daily!U37,Daily!V37,Daily!W37),"")</x:f>
      </x:c>
      <x:c r="I157" s="58" t="str">
        <x:f aca="0">IF(AND(ISNUMBER(H157),G157&gt;0),100*H157/G157,"")</x:f>
      </x:c>
      <x:c r="J157" s="58" t="n">
        <x:f aca="0">IF(COUNTIF(Library!$B$3:$B$58,C157)&lt;&gt;1,"",INDEX(Library!$D$3:$D$58,MATCH(C157,Library!$B$3:$B$58,0)))</x:f>
        <x:v>6</x:v>
      </x:c>
      <x:c r="K157" s="59" t="n">
        <x:f aca="0">Daily!Y37</x:f>
        <x:v>0</x:v>
      </x:c>
      <x:c r="L157" s="60" t="n">
        <x:f aca="0">IF(COUNTIF(Library!$B$3:$B$58,C157)&lt;&gt;1,"",IF(COUNTIFS(Library!$B$3:$B$58,C157,Library!$E$3:$E$58,"&lt;&gt;")=0,0,INDEX(Library!$E$3:$E$58,MATCH(C157,Library!$B$3:$B$58,0))))</x:f>
        <x:v>0.04</x:v>
      </x:c>
      <x:c r="M157" s="58" t="n">
        <x:f aca="0">IF(COUNT(J157:L157)&lt;&gt;3,"",MIN(10,J157*(1+K157*L157)))</x:f>
        <x:v>6</x:v>
      </x:c>
      <x:c r="N157" s="58">
        <x:f>E157</x:f>
        <x:v>4</x:v>
      </x:c>
      <x:c r="O157" s="58">
        <x:f>IF(COUNT(M157:N157)&lt;&gt;2,"",M157*N157)</x:f>
        <x:v>24</x:v>
      </x:c>
      <x:c r="P157" s="58"/>
      <x:c r="Q157" s="58"/>
      <x:c r="R157" s="15"/>
      <x:c r="S157" s="15"/>
    </x:row>
    <x:row r="158" ht="24" hidden="0" customHeight="1">
      <x:c r="A158" s="79" t="n">
        <x:f aca="0">Daily!A37</x:f>
        <x:v>46386.5</x:v>
      </x:c>
      <x:c r="B158" s="16" t="str">
        <x:f aca="0">Daily!D37</x:f>
        <x:v>Handstand movement and strength</x:v>
      </x:c>
      <x:c r="C158" s="15" t="str">
        <x:v>Box pistol</x:v>
      </x:c>
      <x:c r="D158" s="15" t="str">
        <x:v>reps/leg</x:v>
      </x:c>
      <x:c r="E158" s="15" t="n">
        <x:v>4</x:v>
      </x:c>
      <x:c r="F158" s="15" t="n">
        <x:v>5</x:v>
      </x:c>
      <x:c r="G158" s="15" t="n">
        <x:f aca="0">E158*F158</x:f>
        <x:v>20</x:v>
      </x:c>
      <x:c r="H158" s="15" t="str">
        <x:f aca="0">IF(AND(Daily!G37=TRUE,COUNT(Daily!Z37,Daily!AA37,Daily!AB37,Daily!AC37)&gt;0),SUM(Daily!Z37,Daily!AA37,Daily!AB37,Daily!AC37),"")</x:f>
      </x:c>
      <x:c r="I158" s="58" t="str">
        <x:f aca="0">IF(AND(ISNUMBER(H158),G158&gt;0),100*H158/G158,"")</x:f>
      </x:c>
      <x:c r="J158" s="58" t="n">
        <x:f aca="0">IF(COUNTIF(Library!$B$3:$B$58,C158)&lt;&gt;1,"",INDEX(Library!$D$3:$D$58,MATCH(C158,Library!$B$3:$B$58,0)))</x:f>
        <x:v>2</x:v>
      </x:c>
      <x:c r="K158" s="59" t="n">
        <x:f aca="0">Daily!AE37</x:f>
        <x:v>0</x:v>
      </x:c>
      <x:c r="L158" s="60" t="n">
        <x:f aca="0">IF(COUNTIF(Library!$B$3:$B$58,C158)&lt;&gt;1,"",IF(COUNTIFS(Library!$B$3:$B$58,C158,Library!$E$3:$E$58,"&lt;&gt;")=0,0,INDEX(Library!$E$3:$E$58,MATCH(C158,Library!$B$3:$B$58,0))))</x:f>
        <x:v>0.03</x:v>
      </x:c>
      <x:c r="M158" s="58" t="n">
        <x:f aca="0">IF(COUNT(J158:L158)&lt;&gt;3,"",MIN(10,J158*(1+K158*L158)))</x:f>
        <x:v>2</x:v>
      </x:c>
      <x:c r="N158" s="58">
        <x:f>E158</x:f>
        <x:v>4</x:v>
      </x:c>
      <x:c r="O158" s="58">
        <x:f>IF(COUNT(M158:N158)&lt;&gt;2,"",M158*N158)</x:f>
        <x:v>8</x:v>
      </x:c>
      <x:c r="P158" s="58"/>
      <x:c r="Q158" s="58"/>
      <x:c r="R158" s="15"/>
      <x:c r="S158" s="15"/>
    </x:row>
    <x:row r="159" ht="24" hidden="0" customHeight="1">
      <x:c r="A159" s="79" t="n">
        <x:f aca="0">Daily!A37</x:f>
        <x:v>46386.5</x:v>
      </x:c>
      <x:c r="B159" s="16" t="str">
        <x:f aca="0">Daily!D37</x:f>
        <x:v>Handstand movement and strength</x:v>
      </x:c>
      <x:c r="C159" s="15" t="str">
        <x:v>Bar row</x:v>
      </x:c>
      <x:c r="D159" s="15" t="str">
        <x:v>reps</x:v>
      </x:c>
      <x:c r="E159" s="15" t="n">
        <x:v>4</x:v>
      </x:c>
      <x:c r="F159" s="15" t="n">
        <x:v>12</x:v>
      </x:c>
      <x:c r="G159" s="15" t="n">
        <x:f aca="0">E159*F159</x:f>
        <x:v>48</x:v>
      </x:c>
      <x:c r="H159" s="15" t="str">
        <x:f aca="0">IF(AND(Daily!G37=TRUE,COUNT(Daily!AF37,Daily!AG37,Daily!AH37,Daily!AI37)&gt;0),SUM(Daily!AF37,Daily!AG37,Daily!AH37,Daily!AI37),"")</x:f>
      </x:c>
      <x:c r="I159" s="58" t="str">
        <x:f aca="0">IF(AND(ISNUMBER(H159),G159&gt;0),100*H159/G159,"")</x:f>
      </x:c>
      <x:c r="J159" s="58" t="n">
        <x:f aca="0">IF(COUNTIF(Library!$B$3:$B$58,C159)&lt;&gt;1,"",INDEX(Library!$D$3:$D$58,MATCH(C159,Library!$B$3:$B$58,0)))</x:f>
        <x:v>4</x:v>
      </x:c>
      <x:c r="K159" s="59" t="n">
        <x:f aca="0">Daily!AK37</x:f>
        <x:v>0</x:v>
      </x:c>
      <x:c r="L159" s="60" t="n">
        <x:f aca="0">IF(COUNTIF(Library!$B$3:$B$58,C159)&lt;&gt;1,"",IF(COUNTIFS(Library!$B$3:$B$58,C159,Library!$E$3:$E$58,"&lt;&gt;")=0,0,INDEX(Library!$E$3:$E$58,MATCH(C159,Library!$B$3:$B$58,0))))</x:f>
        <x:v>0.04</x:v>
      </x:c>
      <x:c r="M159" s="58" t="n">
        <x:f aca="0">IF(COUNT(J159:L159)&lt;&gt;3,"",MIN(10,J159*(1+K159*L159)))</x:f>
        <x:v>4</x:v>
      </x:c>
      <x:c r="N159" s="58">
        <x:f>E159</x:f>
        <x:v>4</x:v>
      </x:c>
      <x:c r="O159" s="58">
        <x:f>IF(COUNT(M159:N159)&lt;&gt;2,"",M159*N159)</x:f>
        <x:v>16</x:v>
      </x:c>
      <x:c r="P159" s="58"/>
      <x:c r="Q159" s="58"/>
      <x:c r="R159" s="15"/>
      <x:c r="S159" s="15"/>
    </x:row>
    <x:row r="160" ht="24" hidden="0" customHeight="1">
      <x:c r="A160" s="79" t="n">
        <x:f aca="0">Daily!A38</x:f>
        <x:v>46388.5</x:v>
      </x:c>
      <x:c r="B160" s="16" t="str">
        <x:f aca="0">Daily!D38</x:f>
        <x:v>Muscle-up movement + Cal-Intervals</x:v>
      </x:c>
      <x:c r="C160" s="15" t="str">
        <x:v>Low-bar transition</x:v>
      </x:c>
      <x:c r="D160" s="15" t="str">
        <x:v>reps</x:v>
      </x:c>
      <x:c r="E160" s="15" t="n">
        <x:v>4</x:v>
      </x:c>
      <x:c r="F160" s="15" t="n">
        <x:v>3</x:v>
      </x:c>
      <x:c r="G160" s="15" t="n">
        <x:f aca="0">E160*F160</x:f>
        <x:v>12</x:v>
      </x:c>
      <x:c r="H160" s="15" t="str">
        <x:f aca="0">IF(AND(Daily!G38=TRUE,COUNT(Daily!H38,Daily!I38,Daily!J38,Daily!K38)&gt;0),SUM(Daily!H38,Daily!I38,Daily!J38,Daily!K38),"")</x:f>
      </x:c>
      <x:c r="I160" s="58" t="str">
        <x:f aca="0">IF(AND(ISNUMBER(H160),G160&gt;0),100*H160/G160,"")</x:f>
      </x:c>
      <x:c r="J160" s="58" t="n">
        <x:f aca="0">IF(COUNTIF(Library!$B$3:$B$58,C160)&lt;&gt;1,"",INDEX(Library!$D$3:$D$58,MATCH(C160,Library!$B$3:$B$58,0)))</x:f>
        <x:v>4</x:v>
      </x:c>
      <x:c r="K160" s="59" t="n">
        <x:f aca="0">Daily!M38</x:f>
        <x:v>0</x:v>
      </x:c>
      <x:c r="L160" s="60" t="n">
        <x:f aca="0">IF(COUNTIF(Library!$B$3:$B$58,C160)&lt;&gt;1,"",IF(COUNTIFS(Library!$B$3:$B$58,C160,Library!$E$3:$E$58,"&lt;&gt;")=0,0,INDEX(Library!$E$3:$E$58,MATCH(C160,Library!$B$3:$B$58,0))))</x:f>
        <x:v>0</x:v>
      </x:c>
      <x:c r="M160" s="58" t="n">
        <x:f aca="0">IF(COUNT(J160:L160)&lt;&gt;3,"",MIN(10,J160*(1+K160*L160)))</x:f>
        <x:v>4</x:v>
      </x:c>
      <x:c r="N160" s="58">
        <x:f>E160</x:f>
        <x:v>4</x:v>
      </x:c>
      <x:c r="O160" s="58">
        <x:f>IF(COUNT(M160:N160)&lt;&gt;2,"",M160*N160)</x:f>
        <x:v>16</x:v>
      </x:c>
      <x:c r="P160" s="58">
        <x:f>IF(COUNT(O160:O164)&lt;&gt;COUNT(N160:N164),"",ROUND(SUM(O160:O164)/SUM(N160:N164),1))</x:f>
        <x:v>4.4</x:v>
      </x:c>
      <x:c r="Q160" s="58" t="str">
        <x:f>IF(COUNT(I160:I164)=0,"",MEDIAN(I160:I164))</x:f>
      </x:c>
      <x:c r="R160" s="15" t="n">
        <x:f>COUNT(I160:I164)</x:f>
        <x:v>0</x:v>
      </x:c>
      <x:c r="S160" s="15" t="n">
        <x:v>5</x:v>
      </x:c>
    </x:row>
    <x:row r="161" ht="24" hidden="0" customHeight="1">
      <x:c r="A161" s="79" t="n">
        <x:f aca="0">Daily!A38</x:f>
        <x:v>46388.5</x:v>
      </x:c>
      <x:c r="B161" s="16" t="str">
        <x:f aca="0">Daily!D38</x:f>
        <x:v>Muscle-up movement + Cal-Intervals</x:v>
      </x:c>
      <x:c r="C161" s="15" t="str">
        <x:v>Handstand walk</x:v>
      </x:c>
      <x:c r="D161" s="15" t="str">
        <x:v>m</x:v>
      </x:c>
      <x:c r="E161" s="15" t="n">
        <x:v>4</x:v>
      </x:c>
      <x:c r="F161" s="15" t="n">
        <x:v>3</x:v>
      </x:c>
      <x:c r="G161" s="15" t="n">
        <x:f aca="0">E161*F161</x:f>
        <x:v>12</x:v>
      </x:c>
      <x:c r="H161" s="15" t="str">
        <x:f aca="0">IF(AND(Daily!G38=TRUE,COUNT(Daily!N38,Daily!O38,Daily!P38,Daily!Q38)&gt;0),SUM(Daily!N38,Daily!O38,Daily!P38,Daily!Q38),"")</x:f>
      </x:c>
      <x:c r="I161" s="58" t="str">
        <x:f aca="0">IF(AND(ISNUMBER(H161),G161&gt;0),100*H161/G161,"")</x:f>
      </x:c>
      <x:c r="J161" s="58" t="n">
        <x:f aca="0">IF(COUNTIF(Library!$B$3:$B$58,C161)&lt;&gt;1,"",INDEX(Library!$D$3:$D$58,MATCH(C161,Library!$B$3:$B$58,0)))</x:f>
        <x:v>3</x:v>
      </x:c>
      <x:c r="K161" s="59" t="n">
        <x:f aca="0">Daily!S38</x:f>
        <x:v>0</x:v>
      </x:c>
      <x:c r="L161" s="60" t="n">
        <x:f aca="0">IF(COUNTIF(Library!$B$3:$B$58,C161)&lt;&gt;1,"",IF(COUNTIFS(Library!$B$3:$B$58,C161,Library!$E$3:$E$58,"&lt;&gt;")=0,0,INDEX(Library!$E$3:$E$58,MATCH(C161,Library!$B$3:$B$58,0))))</x:f>
        <x:v>0</x:v>
      </x:c>
      <x:c r="M161" s="58" t="n">
        <x:f aca="0">IF(COUNT(J161:L161)&lt;&gt;3,"",MIN(10,J161*(1+K161*L161)))</x:f>
        <x:v>3</x:v>
      </x:c>
      <x:c r="N161" s="58">
        <x:f>E161</x:f>
        <x:v>4</x:v>
      </x:c>
      <x:c r="O161" s="58">
        <x:f>IF(COUNT(M161:N161)&lt;&gt;2,"",M161*N161)</x:f>
        <x:v>12</x:v>
      </x:c>
      <x:c r="P161" s="58"/>
      <x:c r="Q161" s="58"/>
      <x:c r="R161" s="15"/>
      <x:c r="S161" s="15"/>
    </x:row>
    <x:row r="162" ht="24" hidden="0" customHeight="1">
      <x:c r="A162" s="79" t="n">
        <x:f aca="0">Daily!A38</x:f>
        <x:v>46388.5</x:v>
      </x:c>
      <x:c r="B162" s="16" t="str">
        <x:f aca="0">Daily!D38</x:f>
        <x:v>Muscle-up movement + Cal-Intervals</x:v>
      </x:c>
      <x:c r="C162" s="15" t="str">
        <x:v>Straight-bar dip</x:v>
      </x:c>
      <x:c r="D162" s="15" t="str">
        <x:v>reps</x:v>
      </x:c>
      <x:c r="E162" s="15" t="n">
        <x:v>4</x:v>
      </x:c>
      <x:c r="F162" s="15" t="n">
        <x:v>8</x:v>
      </x:c>
      <x:c r="G162" s="15" t="n">
        <x:f aca="0">E162*F162</x:f>
        <x:v>32</x:v>
      </x:c>
      <x:c r="H162" s="15" t="str">
        <x:f aca="0">IF(AND(Daily!G38=TRUE,COUNT(Daily!T38,Daily!U38,Daily!V38,Daily!W38)&gt;0),SUM(Daily!T38,Daily!U38,Daily!V38,Daily!W38),"")</x:f>
      </x:c>
      <x:c r="I162" s="58" t="str">
        <x:f aca="0">IF(AND(ISNUMBER(H162),G162&gt;0),100*H162/G162,"")</x:f>
      </x:c>
      <x:c r="J162" s="58" t="n">
        <x:f aca="0">IF(COUNTIF(Library!$B$3:$B$58,C162)&lt;&gt;1,"",INDEX(Library!$D$3:$D$58,MATCH(C162,Library!$B$3:$B$58,0)))</x:f>
        <x:v>4</x:v>
      </x:c>
      <x:c r="K162" s="59" t="n">
        <x:f aca="0">Daily!Y38</x:f>
        <x:v>0</x:v>
      </x:c>
      <x:c r="L162" s="60" t="n">
        <x:f aca="0">IF(COUNTIF(Library!$B$3:$B$58,C162)&lt;&gt;1,"",IF(COUNTIFS(Library!$B$3:$B$58,C162,Library!$E$3:$E$58,"&lt;&gt;")=0,0,INDEX(Library!$E$3:$E$58,MATCH(C162,Library!$B$3:$B$58,0))))</x:f>
        <x:v>0.02</x:v>
      </x:c>
      <x:c r="M162" s="58" t="n">
        <x:f aca="0">IF(COUNT(J162:L162)&lt;&gt;3,"",MIN(10,J162*(1+K162*L162)))</x:f>
        <x:v>4</x:v>
      </x:c>
      <x:c r="N162" s="58">
        <x:f>E162</x:f>
        <x:v>4</x:v>
      </x:c>
      <x:c r="O162" s="58">
        <x:f>IF(COUNT(M162:N162)&lt;&gt;2,"",M162*N162)</x:f>
        <x:v>16</x:v>
      </x:c>
      <x:c r="P162" s="58"/>
      <x:c r="Q162" s="58"/>
      <x:c r="R162" s="15"/>
      <x:c r="S162" s="15"/>
    </x:row>
    <x:row r="163" ht="24" hidden="0" customHeight="1">
      <x:c r="A163" s="79" t="n">
        <x:f aca="0">Daily!A38</x:f>
        <x:v>46388.5</x:v>
      </x:c>
      <x:c r="B163" s="16" t="str">
        <x:f aca="0">Daily!D38</x:f>
        <x:v>Muscle-up movement + Cal-Intervals</x:v>
      </x:c>
      <x:c r="C163" s="15" t="str">
        <x:v>Elevated pike push-up</x:v>
      </x:c>
      <x:c r="D163" s="15" t="str">
        <x:v>reps</x:v>
      </x:c>
      <x:c r="E163" s="15" t="n">
        <x:v>4</x:v>
      </x:c>
      <x:c r="F163" s="15" t="n">
        <x:v>8</x:v>
      </x:c>
      <x:c r="G163" s="15" t="n">
        <x:f aca="0">E163*F163</x:f>
        <x:v>32</x:v>
      </x:c>
      <x:c r="H163" s="15" t="str">
        <x:f aca="0">IF(AND(Daily!G38=TRUE,COUNT(Daily!Z38,Daily!AA38,Daily!AB38,Daily!AC38)&gt;0),SUM(Daily!Z38,Daily!AA38,Daily!AB38,Daily!AC38),"")</x:f>
      </x:c>
      <x:c r="I163" s="58" t="str">
        <x:f aca="0">IF(AND(ISNUMBER(H163),G163&gt;0),100*H163/G163,"")</x:f>
      </x:c>
      <x:c r="J163" s="58" t="n">
        <x:f aca="0">IF(COUNTIF(Library!$B$3:$B$58,C163)&lt;&gt;1,"",INDEX(Library!$D$3:$D$58,MATCH(C163,Library!$B$3:$B$58,0)))</x:f>
        <x:v>4</x:v>
      </x:c>
      <x:c r="K163" s="59" t="n">
        <x:f aca="0">Daily!AE38</x:f>
        <x:v>0</x:v>
      </x:c>
      <x:c r="L163" s="60" t="n">
        <x:f aca="0">IF(COUNTIF(Library!$B$3:$B$58,C163)&lt;&gt;1,"",IF(COUNTIFS(Library!$B$3:$B$58,C163,Library!$E$3:$E$58,"&lt;&gt;")=0,0,INDEX(Library!$E$3:$E$58,MATCH(C163,Library!$B$3:$B$58,0))))</x:f>
        <x:v>0</x:v>
      </x:c>
      <x:c r="M163" s="58" t="n">
        <x:f aca="0">IF(COUNT(J163:L163)&lt;&gt;3,"",MIN(10,J163*(1+K163*L163)))</x:f>
        <x:v>4</x:v>
      </x:c>
      <x:c r="N163" s="58">
        <x:f>E163</x:f>
        <x:v>4</x:v>
      </x:c>
      <x:c r="O163" s="58">
        <x:f>IF(COUNT(M163:N163)&lt;&gt;2,"",M163*N163)</x:f>
        <x:v>16</x:v>
      </x:c>
      <x:c r="P163" s="58"/>
      <x:c r="Q163" s="58"/>
      <x:c r="R163" s="15"/>
      <x:c r="S163" s="15"/>
    </x:row>
    <x:row r="164" ht="24" hidden="0" customHeight="1">
      <x:c r="A164" s="79" t="n">
        <x:f aca="0">Daily!A38</x:f>
        <x:v>46388.5</x:v>
      </x:c>
      <x:c r="B164" s="16" t="str">
        <x:f aca="0">Daily!D38</x:f>
        <x:v>Muscle-up movement + Cal-Intervals</x:v>
      </x:c>
      <x:c r="C164" s="15" t="str">
        <x:v>Cal-Intervals</x:v>
      </x:c>
      <x:c r="D164" s="15" t="str">
        <x:v>rounds</x:v>
      </x:c>
      <x:c r="E164" s="15" t="n">
        <x:v>1</x:v>
      </x:c>
      <x:c r="F164" s="15" t="n">
        <x:v>5</x:v>
      </x:c>
      <x:c r="G164" s="15" t="n">
        <x:v>5</x:v>
      </x:c>
      <x:c r="H164" s="15" t="str">
        <x:f aca="0">IF(AND(Daily!G38=TRUE,ISNUMBER(Daily!AL38),Daily!AL38&gt;0),Daily!AL38,"")</x:f>
      </x:c>
      <x:c r="I164" s="58" t="str">
        <x:f aca="0">IF(ISNUMBER(H164),100*H164/G164,"")</x:f>
      </x:c>
      <x:c r="J164" s="58" t="n">
        <x:f aca="0">SUM(Library!F67:F70)/SUM(Library!E67:E70)</x:f>
        <x:v>5</x:v>
      </x:c>
      <x:c r="K164" s="59"/>
      <x:c r="L164" s="60"/>
      <x:c r="M164" s="58" t="n">
        <x:f aca="0">J164</x:f>
        <x:v>5</x:v>
      </x:c>
      <x:c r="N164" s="58">
        <x:f>G164*COUNT(Library!B67:B70)</x:f>
        <x:v>20</x:v>
      </x:c>
      <x:c r="O164" s="58">
        <x:f>IF(COUNT(M164:N164)&lt;&gt;2,"",M164*N164)</x:f>
        <x:v>100</x:v>
      </x:c>
      <x:c r="P164" s="58"/>
      <x:c r="Q164" s="58"/>
      <x:c r="R164" s="15"/>
      <x:c r="S164" s="15"/>
    </x:row>
    <x:row r="165" ht="24" hidden="0" customHeight="1">
      <x:c r="A165" s="79" t="n">
        <x:f aca="0">Daily!A39</x:f>
        <x:v>46391.5</x:v>
      </x:c>
      <x:c r="B165" s="16" t="str">
        <x:f aca="0">Daily!D39</x:f>
        <x:v>Pull and muscle-up strength</x:v>
      </x:c>
      <x:c r="C165" s="15" t="str">
        <x:v>High pull</x:v>
      </x:c>
      <x:c r="D165" s="15" t="str">
        <x:v>reps</x:v>
      </x:c>
      <x:c r="E165" s="15" t="n">
        <x:v>4</x:v>
      </x:c>
      <x:c r="F165" s="15" t="n">
        <x:v>3</x:v>
      </x:c>
      <x:c r="G165" s="15" t="n">
        <x:f aca="0">E165*F165</x:f>
        <x:v>12</x:v>
      </x:c>
      <x:c r="H165" s="15" t="str">
        <x:f aca="0">IF(AND(Daily!G39=TRUE,COUNT(Daily!H39,Daily!I39,Daily!J39,Daily!K39)&gt;0),SUM(Daily!H39,Daily!I39,Daily!J39,Daily!K39),"")</x:f>
      </x:c>
      <x:c r="I165" s="58" t="str">
        <x:f aca="0">IF(AND(ISNUMBER(H165),G165&gt;0),100*H165/G165,"")</x:f>
      </x:c>
      <x:c r="J165" s="58" t="n">
        <x:f aca="0">IF(COUNTIF(Library!$B$3:$B$58,C165)&lt;&gt;1,"",INDEX(Library!$D$3:$D$58,MATCH(C165,Library!$B$3:$B$58,0)))</x:f>
        <x:v>4</x:v>
      </x:c>
      <x:c r="K165" s="59" t="n">
        <x:f aca="0">Daily!M39</x:f>
        <x:v>0</x:v>
      </x:c>
      <x:c r="L165" s="60" t="n">
        <x:f aca="0">IF(COUNTIF(Library!$B$3:$B$58,C165)&lt;&gt;1,"",IF(COUNTIFS(Library!$B$3:$B$58,C165,Library!$E$3:$E$58,"&lt;&gt;")=0,0,INDEX(Library!$E$3:$E$58,MATCH(C165,Library!$B$3:$B$58,0))))</x:f>
        <x:v>0.04</x:v>
      </x:c>
      <x:c r="M165" s="58" t="n">
        <x:f aca="0">IF(COUNT(J165:L165)&lt;&gt;3,"",MIN(10,J165*(1+K165*L165)))</x:f>
        <x:v>4</x:v>
      </x:c>
      <x:c r="N165" s="58">
        <x:f>E165</x:f>
        <x:v>4</x:v>
      </x:c>
      <x:c r="O165" s="58">
        <x:f>IF(COUNT(M165:N165)&lt;&gt;2,"",M165*N165)</x:f>
        <x:v>16</x:v>
      </x:c>
      <x:c r="P165" s="58">
        <x:f>IF(COUNT(O165:O169)&lt;&gt;COUNT(N165:N169),"",ROUND(SUM(O165:O169)/SUM(N165:N169),1))</x:f>
        <x:v>4</x:v>
      </x:c>
      <x:c r="Q165" s="58" t="str">
        <x:f>IF(COUNT(I165:I169)=0,"",MEDIAN(I165:I169))</x:f>
      </x:c>
      <x:c r="R165" s="15" t="n">
        <x:f>COUNT(I165:I169)</x:f>
        <x:v>0</x:v>
      </x:c>
      <x:c r="S165" s="15" t="n">
        <x:v>5</x:v>
      </x:c>
    </x:row>
    <x:row r="166" ht="24" hidden="0" customHeight="1">
      <x:c r="A166" s="79" t="n">
        <x:f aca="0">Daily!A39</x:f>
        <x:v>46391.5</x:v>
      </x:c>
      <x:c r="B166" s="16" t="str">
        <x:f aca="0">Daily!D39</x:f>
        <x:v>Pull and muscle-up strength</x:v>
      </x:c>
      <x:c r="C166" s="15" t="str">
        <x:v>Pull-up</x:v>
      </x:c>
      <x:c r="D166" s="15" t="str">
        <x:v>reps</x:v>
      </x:c>
      <x:c r="E166" s="15" t="n">
        <x:v>4</x:v>
      </x:c>
      <x:c r="F166" s="15" t="n">
        <x:v>6</x:v>
      </x:c>
      <x:c r="G166" s="15" t="n">
        <x:f aca="0">E166*F166</x:f>
        <x:v>24</x:v>
      </x:c>
      <x:c r="H166" s="15" t="str">
        <x:f aca="0">IF(AND(Daily!G39=TRUE,COUNT(Daily!N39,Daily!O39,Daily!P39,Daily!Q39)&gt;0),SUM(Daily!N39,Daily!O39,Daily!P39,Daily!Q39),"")</x:f>
      </x:c>
      <x:c r="I166" s="58" t="str">
        <x:f aca="0">IF(AND(ISNUMBER(H166),G166&gt;0),100*H166/G166,"")</x:f>
      </x:c>
      <x:c r="J166" s="58" t="n">
        <x:f aca="0">IF(COUNTIF(Library!$B$3:$B$58,C166)&lt;&gt;1,"",INDEX(Library!$D$3:$D$58,MATCH(C166,Library!$B$3:$B$58,0)))</x:f>
        <x:v>6</x:v>
      </x:c>
      <x:c r="K166" s="59" t="n">
        <x:f aca="0">Daily!S39</x:f>
        <x:v>0</x:v>
      </x:c>
      <x:c r="L166" s="60" t="n">
        <x:f aca="0">IF(COUNTIF(Library!$B$3:$B$58,C166)&lt;&gt;1,"",IF(COUNTIFS(Library!$B$3:$B$58,C166,Library!$E$3:$E$58,"&lt;&gt;")=0,0,INDEX(Library!$E$3:$E$58,MATCH(C166,Library!$B$3:$B$58,0))))</x:f>
        <x:v>0.04</x:v>
      </x:c>
      <x:c r="M166" s="58" t="n">
        <x:f aca="0">IF(COUNT(J166:L166)&lt;&gt;3,"",MIN(10,J166*(1+K166*L166)))</x:f>
        <x:v>6</x:v>
      </x:c>
      <x:c r="N166" s="58">
        <x:f>E166</x:f>
        <x:v>4</x:v>
      </x:c>
      <x:c r="O166" s="58">
        <x:f>IF(COUNT(M166:N166)&lt;&gt;2,"",M166*N166)</x:f>
        <x:v>24</x:v>
      </x:c>
      <x:c r="P166" s="58"/>
      <x:c r="Q166" s="58"/>
      <x:c r="R166" s="15"/>
      <x:c r="S166" s="15"/>
    </x:row>
    <x:row r="167" ht="24" hidden="0" customHeight="1">
      <x:c r="A167" s="79" t="n">
        <x:f aca="0">Daily!A39</x:f>
        <x:v>46391.5</x:v>
      </x:c>
      <x:c r="B167" s="16" t="str">
        <x:f aca="0">Daily!D39</x:f>
        <x:v>Pull and muscle-up strength</x:v>
      </x:c>
      <x:c r="C167" s="15" t="str">
        <x:v>Parallel-bar dip</x:v>
      </x:c>
      <x:c r="D167" s="15" t="str">
        <x:v>reps</x:v>
      </x:c>
      <x:c r="E167" s="15" t="n">
        <x:v>4</x:v>
      </x:c>
      <x:c r="F167" s="15" t="n">
        <x:v>12</x:v>
      </x:c>
      <x:c r="G167" s="15" t="n">
        <x:f aca="0">E167*F167</x:f>
        <x:v>48</x:v>
      </x:c>
      <x:c r="H167" s="15" t="str">
        <x:f aca="0">IF(AND(Daily!G39=TRUE,COUNT(Daily!T39,Daily!U39,Daily!V39,Daily!W39)&gt;0),SUM(Daily!T39,Daily!U39,Daily!V39,Daily!W39),"")</x:f>
      </x:c>
      <x:c r="I167" s="58" t="str">
        <x:f aca="0">IF(AND(ISNUMBER(H167),G167&gt;0),100*H167/G167,"")</x:f>
      </x:c>
      <x:c r="J167" s="58" t="n">
        <x:f aca="0">IF(COUNTIF(Library!$B$3:$B$58,C167)&lt;&gt;1,"",INDEX(Library!$D$3:$D$58,MATCH(C167,Library!$B$3:$B$58,0)))</x:f>
        <x:v>4</x:v>
      </x:c>
      <x:c r="K167" s="59" t="n">
        <x:f aca="0">Daily!Y39</x:f>
        <x:v>0</x:v>
      </x:c>
      <x:c r="L167" s="60" t="n">
        <x:f aca="0">IF(COUNTIF(Library!$B$3:$B$58,C167)&lt;&gt;1,"",IF(COUNTIFS(Library!$B$3:$B$58,C167,Library!$E$3:$E$58,"&lt;&gt;")=0,0,INDEX(Library!$E$3:$E$58,MATCH(C167,Library!$B$3:$B$58,0))))</x:f>
        <x:v>0.02</x:v>
      </x:c>
      <x:c r="M167" s="58" t="n">
        <x:f aca="0">IF(COUNT(J167:L167)&lt;&gt;3,"",MIN(10,J167*(1+K167*L167)))</x:f>
        <x:v>4</x:v>
      </x:c>
      <x:c r="N167" s="58">
        <x:f>E167</x:f>
        <x:v>4</x:v>
      </x:c>
      <x:c r="O167" s="58">
        <x:f>IF(COUNT(M167:N167)&lt;&gt;2,"",M167*N167)</x:f>
        <x:v>16</x:v>
      </x:c>
      <x:c r="P167" s="58"/>
      <x:c r="Q167" s="58"/>
      <x:c r="R167" s="15"/>
      <x:c r="S167" s="15"/>
    </x:row>
    <x:row r="168" ht="24" hidden="0" customHeight="1">
      <x:c r="A168" s="79" t="n">
        <x:f aca="0">Daily!A39</x:f>
        <x:v>46391.5</x:v>
      </x:c>
      <x:c r="B168" s="16" t="str">
        <x:f aca="0">Daily!D39</x:f>
        <x:v>Pull and muscle-up strength</x:v>
      </x:c>
      <x:c r="C168" s="15" t="str">
        <x:v>Box pistol</x:v>
      </x:c>
      <x:c r="D168" s="15" t="str">
        <x:v>reps/leg</x:v>
      </x:c>
      <x:c r="E168" s="15" t="n">
        <x:v>4</x:v>
      </x:c>
      <x:c r="F168" s="15" t="n">
        <x:v>5</x:v>
      </x:c>
      <x:c r="G168" s="15" t="n">
        <x:f aca="0">E168*F168</x:f>
        <x:v>20</x:v>
      </x:c>
      <x:c r="H168" s="15" t="str">
        <x:f aca="0">IF(AND(Daily!G39=TRUE,COUNT(Daily!Z39,Daily!AA39,Daily!AB39,Daily!AC39)&gt;0),SUM(Daily!Z39,Daily!AA39,Daily!AB39,Daily!AC39),"")</x:f>
      </x:c>
      <x:c r="I168" s="58" t="str">
        <x:f aca="0">IF(AND(ISNUMBER(H168),G168&gt;0),100*H168/G168,"")</x:f>
      </x:c>
      <x:c r="J168" s="58" t="n">
        <x:f aca="0">IF(COUNTIF(Library!$B$3:$B$58,C168)&lt;&gt;1,"",INDEX(Library!$D$3:$D$58,MATCH(C168,Library!$B$3:$B$58,0)))</x:f>
        <x:v>2</x:v>
      </x:c>
      <x:c r="K168" s="59" t="n">
        <x:f aca="0">Daily!AE39</x:f>
        <x:v>0</x:v>
      </x:c>
      <x:c r="L168" s="60" t="n">
        <x:f aca="0">IF(COUNTIF(Library!$B$3:$B$58,C168)&lt;&gt;1,"",IF(COUNTIFS(Library!$B$3:$B$58,C168,Library!$E$3:$E$58,"&lt;&gt;")=0,0,INDEX(Library!$E$3:$E$58,MATCH(C168,Library!$B$3:$B$58,0))))</x:f>
        <x:v>0.03</x:v>
      </x:c>
      <x:c r="M168" s="58" t="n">
        <x:f aca="0">IF(COUNT(J168:L168)&lt;&gt;3,"",MIN(10,J168*(1+K168*L168)))</x:f>
        <x:v>2</x:v>
      </x:c>
      <x:c r="N168" s="58">
        <x:f>E168</x:f>
        <x:v>4</x:v>
      </x:c>
      <x:c r="O168" s="58">
        <x:f>IF(COUNT(M168:N168)&lt;&gt;2,"",M168*N168)</x:f>
        <x:v>8</x:v>
      </x:c>
      <x:c r="P168" s="58"/>
      <x:c r="Q168" s="58"/>
      <x:c r="R168" s="15"/>
      <x:c r="S168" s="15"/>
    </x:row>
    <x:row r="169" ht="24" hidden="0" customHeight="1">
      <x:c r="A169" s="79" t="n">
        <x:f aca="0">Daily!A39</x:f>
        <x:v>46391.5</x:v>
      </x:c>
      <x:c r="B169" s="16" t="str">
        <x:f aca="0">Daily!D39</x:f>
        <x:v>Pull and muscle-up strength</x:v>
      </x:c>
      <x:c r="C169" s="15" t="str">
        <x:v>Sliding hamstring curl</x:v>
      </x:c>
      <x:c r="D169" s="15" t="str">
        <x:v>reps</x:v>
      </x:c>
      <x:c r="E169" s="15" t="n">
        <x:v>3</x:v>
      </x:c>
      <x:c r="F169" s="15" t="n">
        <x:v>10</x:v>
      </x:c>
      <x:c r="G169" s="15" t="n">
        <x:f aca="0">E169*F169</x:f>
        <x:v>30</x:v>
      </x:c>
      <x:c r="H169" s="15" t="str">
        <x:f aca="0">IF(AND(Daily!G39=TRUE,COUNT(Daily!AF39,Daily!AG39,Daily!AH39)&gt;0),SUM(Daily!AF39,Daily!AG39,Daily!AH39),"")</x:f>
      </x:c>
      <x:c r="I169" s="58" t="str">
        <x:f aca="0">IF(AND(ISNUMBER(H169),G169&gt;0),100*H169/G169,"")</x:f>
      </x:c>
      <x:c r="J169" s="58" t="n">
        <x:f aca="0">IF(COUNTIF(Library!$B$3:$B$58,C169)&lt;&gt;1,"",INDEX(Library!$D$3:$D$58,MATCH(C169,Library!$B$3:$B$58,0)))</x:f>
        <x:v>4</x:v>
      </x:c>
      <x:c r="K169" s="59" t="n">
        <x:f aca="0">Daily!AK39</x:f>
        <x:v>0</x:v>
      </x:c>
      <x:c r="L169" s="60" t="n">
        <x:f aca="0">IF(COUNTIF(Library!$B$3:$B$58,C169)&lt;&gt;1,"",IF(COUNTIFS(Library!$B$3:$B$58,C169,Library!$E$3:$E$58,"&lt;&gt;")=0,0,INDEX(Library!$E$3:$E$58,MATCH(C169,Library!$B$3:$B$58,0))))</x:f>
        <x:v>0</x:v>
      </x:c>
      <x:c r="M169" s="58" t="n">
        <x:f aca="0">IF(COUNT(J169:L169)&lt;&gt;3,"",MIN(10,J169*(1+K169*L169)))</x:f>
        <x:v>4</x:v>
      </x:c>
      <x:c r="N169" s="58">
        <x:f>E169</x:f>
        <x:v>3</x:v>
      </x:c>
      <x:c r="O169" s="58">
        <x:f>IF(COUNT(M169:N169)&lt;&gt;2,"",M169*N169)</x:f>
        <x:v>12</x:v>
      </x:c>
      <x:c r="P169" s="58"/>
      <x:c r="Q169" s="58"/>
      <x:c r="R169" s="15"/>
      <x:c r="S169" s="15"/>
    </x:row>
    <x:row r="170" ht="24" hidden="0" customHeight="1">
      <x:c r="A170" s="79" t="n">
        <x:f aca="0">Daily!A40</x:f>
        <x:v>46392.5</x:v>
      </x:c>
      <x:c r="B170" s="16" t="str">
        <x:f aca="0">Daily!D40</x:f>
        <x:v>Optional movement practice</x:v>
      </x:c>
      <x:c r="C170" s="15" t="str">
        <x:v>Wrist/shoulder mobility</x:v>
      </x:c>
      <x:c r="D170" s="15" t="str">
        <x:v>seconds</x:v>
      </x:c>
      <x:c r="E170" s="15" t="n">
        <x:v>1</x:v>
      </x:c>
      <x:c r="F170" s="15" t="n">
        <x:v>120</x:v>
      </x:c>
      <x:c r="G170" s="15" t="n">
        <x:f aca="0">E170*F170</x:f>
        <x:v>120</x:v>
      </x:c>
      <x:c r="H170" s="15" t="str">
        <x:f aca="0">IF(AND(Daily!G40=TRUE,COUNT(Daily!H40)&gt;0),SUM(Daily!H40)*86400,"")</x:f>
      </x:c>
      <x:c r="I170" s="58" t="str">
        <x:f aca="0">IF(AND(ISNUMBER(H170),G170&gt;0),100*H170/G170,"")</x:f>
      </x:c>
      <x:c r="J170" s="58" t="n">
        <x:f aca="0">IF(COUNTIF(Library!$B$3:$B$58,C170)&lt;&gt;1,"",INDEX(Library!$D$3:$D$58,MATCH(C170,Library!$B$3:$B$58,0)))</x:f>
        <x:v>1</x:v>
      </x:c>
      <x:c r="K170" s="59" t="n">
        <x:f aca="0">Daily!M40</x:f>
        <x:v>0</x:v>
      </x:c>
      <x:c r="L170" s="60" t="n">
        <x:f aca="0">IF(COUNTIF(Library!$B$3:$B$58,C170)&lt;&gt;1,"",IF(COUNTIFS(Library!$B$3:$B$58,C170,Library!$E$3:$E$58,"&lt;&gt;")=0,0,INDEX(Library!$E$3:$E$58,MATCH(C170,Library!$B$3:$B$58,0))))</x:f>
        <x:v>0</x:v>
      </x:c>
      <x:c r="M170" s="58" t="n">
        <x:f aca="0">IF(COUNT(J170:L170)&lt;&gt;3,"",MIN(10,J170*(1+K170*L170)))</x:f>
        <x:v>1</x:v>
      </x:c>
      <x:c r="N170" s="58">
        <x:f>E170</x:f>
        <x:v>1</x:v>
      </x:c>
      <x:c r="O170" s="58">
        <x:f>IF(COUNT(M170:N170)&lt;&gt;2,"",M170*N170)</x:f>
        <x:v>1</x:v>
      </x:c>
      <x:c r="P170" s="58">
        <x:f>IF(COUNT(O170:O172)&lt;&gt;COUNT(N170:N172),"",ROUND(SUM(O170:O172)/SUM(N170:N172),1))</x:f>
        <x:v>1</x:v>
      </x:c>
      <x:c r="Q170" s="58" t="str">
        <x:f>IF(COUNT(I170:I172)=0,"",MEDIAN(I170:I172))</x:f>
      </x:c>
      <x:c r="R170" s="15" t="n">
        <x:f>COUNT(I170:I172)</x:f>
        <x:v>0</x:v>
      </x:c>
      <x:c r="S170" s="15" t="n">
        <x:v>3</x:v>
      </x:c>
    </x:row>
    <x:row r="171" ht="24" hidden="0" customHeight="1">
      <x:c r="A171" t="n" s="79">
        <x:f aca="0">Daily!A40</x:f>
        <x:v>46392.5</x:v>
      </x:c>
      <x:c r="B171" t="str" s="16">
        <x:f aca="0">Daily!D40</x:f>
        <x:v>Optional movement practice</x:v>
      </x:c>
      <x:c r="C171" t="str" s="15">
        <x:v>Easy handstand walk</x:v>
      </x:c>
      <x:c r="D171" t="str" s="15">
        <x:v>m</x:v>
      </x:c>
      <x:c r="E171" t="n" s="15">
        <x:v>3</x:v>
      </x:c>
      <x:c r="F171" t="n" s="15">
        <x:v>2</x:v>
      </x:c>
      <x:c r="G171" t="n" s="15">
        <x:f aca="0">E171*F171</x:f>
        <x:v>6</x:v>
      </x:c>
      <x:c r="H171" t="str" s="15">
        <x:f aca="0">IF(AND(Daily!G40=TRUE,COUNT(Daily!N40,Daily!O40,Daily!P40)&gt;0),SUM(Daily!N40,Daily!O40,Daily!P40),"")</x:f>
      </x:c>
      <x:c r="I171" t="str" s="58">
        <x:f aca="0">IF(AND(ISNUMBER(H171),G171&gt;0),100*H171/G171,"")</x:f>
      </x:c>
      <x:c r="J171" t="n" s="58">
        <x:f aca="0">IF(COUNTIF(Library!$B$3:$B$58,C171)&lt;&gt;1,"",INDEX(Library!$D$3:$D$58,MATCH(C171,Library!$B$3:$B$58,0)))</x:f>
        <x:v>1</x:v>
      </x:c>
      <x:c r="K171" t="n" s="59">
        <x:f aca="0">Daily!S40</x:f>
        <x:v>0</x:v>
      </x:c>
      <x:c r="L171" t="n" s="60">
        <x:f aca="0">IF(COUNTIF(Library!$B$3:$B$58,C171)&lt;&gt;1,"",IF(COUNTIFS(Library!$B$3:$B$58,C171,Library!$E$3:$E$58,"&lt;&gt;")=0,0,INDEX(Library!$E$3:$E$58,MATCH(C171,Library!$B$3:$B$58,0))))</x:f>
        <x:v>0</x:v>
      </x:c>
      <x:c r="M171" t="n" s="58">
        <x:f aca="0">IF(COUNT(J171:L171)&lt;&gt;3,"",MIN(10,J171*(1+K171*L171)))</x:f>
        <x:v>1</x:v>
      </x:c>
      <x:c r="N171" s="58">
        <x:f>E171</x:f>
        <x:v>3</x:v>
      </x:c>
      <x:c r="O171" s="58">
        <x:f>IF(COUNT(M171:N171)&lt;&gt;2,"",M171*N171)</x:f>
        <x:v>3</x:v>
      </x:c>
      <x:c r="P171" s="58"/>
      <x:c r="Q171" s="58"/>
      <x:c r="R171" s="15"/>
      <x:c r="S171" s="15"/>
    </x:row>
    <x:row r="172" ht="24" hidden="0" customHeight="1">
      <x:c r="A172" t="n" s="79">
        <x:f aca="0">Daily!A40</x:f>
        <x:v>46392.5</x:v>
      </x:c>
      <x:c r="B172" t="str" s="16">
        <x:f aca="0">Daily!D40</x:f>
        <x:v>Optional movement practice</x:v>
      </x:c>
      <x:c r="C172" t="str" s="15">
        <x:v>Easy bear crawl</x:v>
      </x:c>
      <x:c r="D172" t="str" s="15">
        <x:v>seconds</x:v>
      </x:c>
      <x:c r="E172" t="n" s="15">
        <x:v>3</x:v>
      </x:c>
      <x:c r="F172" t="n" s="15">
        <x:v>20</x:v>
      </x:c>
      <x:c r="G172" t="n" s="15">
        <x:f>E172*F172</x:f>
        <x:v>60</x:v>
      </x:c>
      <x:c r="H172" t="str" s="15">
        <x:f aca="0">IF(AND(Daily!G40=TRUE,COUNT(Daily!T40,Daily!U40,Daily!V40)&gt;0),SUM(Daily!T40,Daily!U40,Daily!V40)*86400,"")</x:f>
      </x:c>
      <x:c r="I172" t="str" s="58">
        <x:f aca="0">IF(AND(ISNUMBER(H172),G172&gt;0),100*H172/G172,"")</x:f>
      </x:c>
      <x:c r="J172" t="n" s="58">
        <x:f aca="0">IF(COUNTIF(Library!$B$3:$B$58,C172)&lt;&gt;1,"",INDEX(Library!$D$3:$D$58,MATCH(C172,Library!$B$3:$B$58,0)))</x:f>
        <x:v>1</x:v>
      </x:c>
      <x:c r="K172" t="n" s="59">
        <x:f>Daily!Y40</x:f>
        <x:v>0</x:v>
      </x:c>
      <x:c r="L172" t="n" s="60">
        <x:f>IF(COUNTIF(Library!$B$3:$B$58,C172)&lt;&gt;1,"",IF(COUNTIFS(Library!$B$3:$B$58,C172,Library!$E$3:$E$58,"&lt;&gt;")=0,0,INDEX(Library!$E$3:$E$58,MATCH(C172,Library!$B$3:$B$58,0))))</x:f>
        <x:v>0</x:v>
      </x:c>
      <x:c r="M172" t="n" s="58">
        <x:f aca="0">IF(COUNT(J172:L172)&lt;&gt;3,"",MIN(10,J172*(1+K172*L172)))</x:f>
        <x:v>1</x:v>
      </x:c>
      <x:c r="N172" s="58">
        <x:f>E172</x:f>
        <x:v>3</x:v>
      </x:c>
      <x:c r="O172" s="58">
        <x:f>IF(COUNT(M172:N172)&lt;&gt;2,"",M172*N172)</x:f>
        <x:v>3</x:v>
      </x:c>
      <x:c r="P172" s="58"/>
      <x:c r="Q172" s="58"/>
      <x:c r="R172" s="15"/>
      <x:c r="S172" s="15"/>
    </x:row>
    <x:row r="173" ht="24" hidden="0" customHeight="1">
      <x:c r="A173" t="n" s="79">
        <x:f aca="0">Daily!A41</x:f>
        <x:v>46393.5</x:v>
      </x:c>
      <x:c r="B173" t="str" s="16">
        <x:f aca="0">Daily!D41</x:f>
        <x:v>Handstand movement and strength</x:v>
      </x:c>
      <x:c r="C173" t="str" s="15">
        <x:v>Handstand walk</x:v>
      </x:c>
      <x:c r="D173" t="str" s="15">
        <x:v>m</x:v>
      </x:c>
      <x:c r="E173" t="n" s="15">
        <x:v>3</x:v>
      </x:c>
      <x:c r="F173" t="n" s="15">
        <x:v>3</x:v>
      </x:c>
      <x:c r="G173" t="n" s="15">
        <x:f aca="0">E173*F173</x:f>
        <x:v>9</x:v>
      </x:c>
      <x:c r="H173" t="str" s="15">
        <x:f aca="0">IF(AND(Daily!G41=TRUE,COUNT(Daily!H41,Daily!I41,Daily!J41)&gt;0),SUM(Daily!H41,Daily!I41,Daily!J41),"")</x:f>
      </x:c>
      <x:c r="I173" t="str" s="58">
        <x:f aca="0">IF(AND(ISNUMBER(H173),G173&gt;0),100*H173/G173,"")</x:f>
      </x:c>
      <x:c r="J173" t="n" s="58">
        <x:f aca="0">IF(COUNTIF(Library!$B$3:$B$58,C173)&lt;&gt;1,"",INDEX(Library!$D$3:$D$58,MATCH(C173,Library!$B$3:$B$58,0)))</x:f>
        <x:v>3</x:v>
      </x:c>
      <x:c r="K173" t="n" s="59">
        <x:f aca="0">Daily!M41</x:f>
        <x:v>0</x:v>
      </x:c>
      <x:c r="L173" t="n" s="60">
        <x:f aca="0">IF(COUNTIF(Library!$B$3:$B$58,C173)&lt;&gt;1,"",IF(COUNTIFS(Library!$B$3:$B$58,C173,Library!$E$3:$E$58,"&lt;&gt;")=0,0,INDEX(Library!$E$3:$E$58,MATCH(C173,Library!$B$3:$B$58,0))))</x:f>
        <x:v>0</x:v>
      </x:c>
      <x:c r="M173" t="n" s="58">
        <x:f aca="0">IF(COUNT(J173:L173)&lt;&gt;3,"",MIN(10,J173*(1+K173*L173)))</x:f>
        <x:v>3</x:v>
      </x:c>
      <x:c r="N173" s="58">
        <x:f>E173</x:f>
        <x:v>3</x:v>
      </x:c>
      <x:c r="O173" s="58">
        <x:f>IF(COUNT(M173:N173)&lt;&gt;2,"",M173*N173)</x:f>
        <x:v>9</x:v>
      </x:c>
      <x:c r="P173" s="58">
        <x:f>IF(COUNT(O173:O177)&lt;&gt;COUNT(N173:N177),"",ROUND(SUM(O173:O177)/SUM(N173:N177),1))</x:f>
        <x:v>3.8</x:v>
      </x:c>
      <x:c r="Q173" t="str" s="58">
        <x:f aca="0">IF(COUNT(I173:I177)=0,"",MEDIAN(I173:I177))</x:f>
      </x:c>
      <x:c r="R173" t="n" s="15">
        <x:f aca="0">COUNT(I173:I177)</x:f>
        <x:v>0</x:v>
      </x:c>
      <x:c r="S173" t="n" s="15">
        <x:v>5</x:v>
      </x:c>
    </x:row>
    <x:row r="174" ht="24" hidden="0" customHeight="1">
      <x:c r="A174" t="n" s="79">
        <x:f aca="0">Daily!A41</x:f>
        <x:v>46393.5</x:v>
      </x:c>
      <x:c r="B174" t="str" s="16">
        <x:f aca="0">Daily!D41</x:f>
        <x:v>Handstand movement and strength</x:v>
      </x:c>
      <x:c r="C174" t="str" s="15">
        <x:v>Elevated pike push-up</x:v>
      </x:c>
      <x:c r="D174" t="str" s="15">
        <x:v>reps</x:v>
      </x:c>
      <x:c r="E174" t="n" s="15">
        <x:v>4</x:v>
      </x:c>
      <x:c r="F174" t="n" s="15">
        <x:v>8</x:v>
      </x:c>
      <x:c r="G174" t="n" s="15">
        <x:f aca="0">E174*F174</x:f>
        <x:v>32</x:v>
      </x:c>
      <x:c r="H174" t="str" s="15">
        <x:f aca="0">IF(AND(Daily!G41=TRUE,COUNT(Daily!N41,Daily!O41,Daily!P41,Daily!Q41)&gt;0),SUM(Daily!N41,Daily!O41,Daily!P41,Daily!Q41),"")</x:f>
      </x:c>
      <x:c r="I174" t="str" s="58">
        <x:f aca="0">IF(AND(ISNUMBER(H174),G174&gt;0),100*H174/G174,"")</x:f>
      </x:c>
      <x:c r="J174" t="n" s="58">
        <x:f aca="0">IF(COUNTIF(Library!$B$3:$B$58,C174)&lt;&gt;1,"",INDEX(Library!$D$3:$D$58,MATCH(C174,Library!$B$3:$B$58,0)))</x:f>
        <x:v>4</x:v>
      </x:c>
      <x:c r="K174" t="n" s="59">
        <x:f aca="0">Daily!S41</x:f>
        <x:v>0</x:v>
      </x:c>
      <x:c r="L174" t="n" s="60">
        <x:f aca="0">IF(COUNTIF(Library!$B$3:$B$58,C174)&lt;&gt;1,"",IF(COUNTIFS(Library!$B$3:$B$58,C174,Library!$E$3:$E$58,"&lt;&gt;")=0,0,INDEX(Library!$E$3:$E$58,MATCH(C174,Library!$B$3:$B$58,0))))</x:f>
        <x:v>0</x:v>
      </x:c>
      <x:c r="M174" t="n" s="58">
        <x:f aca="0">IF(COUNT(J174:L174)&lt;&gt;3,"",MIN(10,J174*(1+K174*L174)))</x:f>
        <x:v>4</x:v>
      </x:c>
      <x:c r="N174" s="58">
        <x:f>E174</x:f>
        <x:v>4</x:v>
      </x:c>
      <x:c r="O174" s="58">
        <x:f>IF(COUNT(M174:N174)&lt;&gt;2,"",M174*N174)</x:f>
        <x:v>16</x:v>
      </x:c>
      <x:c r="P174" s="58"/>
      <x:c r="Q174" s="58"/>
      <x:c r="R174" s="15"/>
      <x:c r="S174" s="15"/>
    </x:row>
    <x:row r="175" ht="24" hidden="0" customHeight="1">
      <x:c r="A175" t="n" s="79">
        <x:f aca="0">Daily!A41</x:f>
        <x:v>46393.5</x:v>
      </x:c>
      <x:c r="B175" t="str" s="16">
        <x:f aca="0">Daily!D41</x:f>
        <x:v>Handstand movement and strength</x:v>
      </x:c>
      <x:c r="C175" t="str" s="15">
        <x:v>Pull-up</x:v>
      </x:c>
      <x:c r="D175" t="str" s="15">
        <x:v>reps</x:v>
      </x:c>
      <x:c r="E175" t="n" s="15">
        <x:v>4</x:v>
      </x:c>
      <x:c r="F175" t="n" s="15">
        <x:v>6</x:v>
      </x:c>
      <x:c r="G175" t="n" s="15">
        <x:f aca="0">E175*F175</x:f>
        <x:v>24</x:v>
      </x:c>
      <x:c r="H175" t="str" s="15">
        <x:f aca="0">IF(AND(Daily!G41=TRUE,COUNT(Daily!T41,Daily!U41,Daily!V41,Daily!W41)&gt;0),SUM(Daily!T41,Daily!U41,Daily!V41,Daily!W41),"")</x:f>
      </x:c>
      <x:c r="I175" t="str" s="58">
        <x:f aca="0">IF(AND(ISNUMBER(H175),G175&gt;0),100*H175/G175,"")</x:f>
      </x:c>
      <x:c r="J175" t="n" s="58">
        <x:f aca="0">IF(COUNTIF(Library!$B$3:$B$58,C175)&lt;&gt;1,"",INDEX(Library!$D$3:$D$58,MATCH(C175,Library!$B$3:$B$58,0)))</x:f>
        <x:v>6</x:v>
      </x:c>
      <x:c r="K175" t="n" s="59">
        <x:f aca="0">Daily!Y41</x:f>
        <x:v>0</x:v>
      </x:c>
      <x:c r="L175" t="n" s="60">
        <x:f aca="0">IF(COUNTIF(Library!$B$3:$B$58,C175)&lt;&gt;1,"",IF(COUNTIFS(Library!$B$3:$B$58,C175,Library!$E$3:$E$58,"&lt;&gt;")=0,0,INDEX(Library!$E$3:$E$58,MATCH(C175,Library!$B$3:$B$58,0))))</x:f>
        <x:v>0.04</x:v>
      </x:c>
      <x:c r="M175" t="n" s="58">
        <x:f aca="0">IF(COUNT(J175:L175)&lt;&gt;3,"",MIN(10,J175*(1+K175*L175)))</x:f>
        <x:v>6</x:v>
      </x:c>
      <x:c r="N175" s="58">
        <x:f>E175</x:f>
        <x:v>4</x:v>
      </x:c>
      <x:c r="O175" s="58">
        <x:f>IF(COUNT(M175:N175)&lt;&gt;2,"",M175*N175)</x:f>
        <x:v>24</x:v>
      </x:c>
      <x:c r="P175" s="58"/>
      <x:c r="Q175" s="58"/>
      <x:c r="R175" s="15"/>
      <x:c r="S175" s="15"/>
    </x:row>
    <x:row r="176" ht="24" hidden="0" customHeight="1">
      <x:c r="A176" t="n" s="79">
        <x:f aca="0">Daily!A41</x:f>
        <x:v>46393.5</x:v>
      </x:c>
      <x:c r="B176" t="str" s="16">
        <x:f aca="0">Daily!D41</x:f>
        <x:v>Handstand movement and strength</x:v>
      </x:c>
      <x:c r="C176" t="str" s="15">
        <x:v>Box pistol</x:v>
      </x:c>
      <x:c r="D176" t="str" s="15">
        <x:v>reps/leg</x:v>
      </x:c>
      <x:c r="E176" t="n" s="15">
        <x:v>4</x:v>
      </x:c>
      <x:c r="F176" t="n" s="15">
        <x:v>5</x:v>
      </x:c>
      <x:c r="G176" t="n" s="15">
        <x:f aca="0">E176*F176</x:f>
        <x:v>20</x:v>
      </x:c>
      <x:c r="H176" t="str" s="15">
        <x:f aca="0">IF(AND(Daily!G41=TRUE,COUNT(Daily!Z41,Daily!AA41,Daily!AB41,Daily!AC41)&gt;0),SUM(Daily!Z41,Daily!AA41,Daily!AB41,Daily!AC41),"")</x:f>
      </x:c>
      <x:c r="I176" t="str" s="58">
        <x:f aca="0">IF(AND(ISNUMBER(H176),G176&gt;0),100*H176/G176,"")</x:f>
      </x:c>
      <x:c r="J176" t="n" s="58">
        <x:f aca="0">IF(COUNTIF(Library!$B$3:$B$58,C176)&lt;&gt;1,"",INDEX(Library!$D$3:$D$58,MATCH(C176,Library!$B$3:$B$58,0)))</x:f>
        <x:v>2</x:v>
      </x:c>
      <x:c r="K176" t="n" s="59">
        <x:f aca="0">Daily!AE41</x:f>
        <x:v>0</x:v>
      </x:c>
      <x:c r="L176" t="n" s="60">
        <x:f aca="0">IF(COUNTIF(Library!$B$3:$B$58,C176)&lt;&gt;1,"",IF(COUNTIFS(Library!$B$3:$B$58,C176,Library!$E$3:$E$58,"&lt;&gt;")=0,0,INDEX(Library!$E$3:$E$58,MATCH(C176,Library!$B$3:$B$58,0))))</x:f>
        <x:v>0.03</x:v>
      </x:c>
      <x:c r="M176" t="n" s="58">
        <x:f aca="0">IF(COUNT(J176:L176)&lt;&gt;3,"",MIN(10,J176*(1+K176*L176)))</x:f>
        <x:v>2</x:v>
      </x:c>
      <x:c r="N176" s="58">
        <x:f>E176</x:f>
        <x:v>4</x:v>
      </x:c>
      <x:c r="O176" s="58">
        <x:f>IF(COUNT(M176:N176)&lt;&gt;2,"",M176*N176)</x:f>
        <x:v>8</x:v>
      </x:c>
      <x:c r="P176" s="58"/>
      <x:c r="Q176" s="58"/>
      <x:c r="R176" s="15"/>
      <x:c r="S176" s="15"/>
    </x:row>
    <x:row r="177" ht="24" hidden="0" customHeight="1">
      <x:c r="A177" t="n" s="79">
        <x:f aca="0">Daily!A41</x:f>
        <x:v>46393.5</x:v>
      </x:c>
      <x:c r="B177" t="str" s="16">
        <x:f aca="0">Daily!D41</x:f>
        <x:v>Handstand movement and strength</x:v>
      </x:c>
      <x:c r="C177" t="str" s="15">
        <x:v>Bar row</x:v>
      </x:c>
      <x:c r="D177" t="str" s="15">
        <x:v>reps</x:v>
      </x:c>
      <x:c r="E177" t="n" s="15">
        <x:v>4</x:v>
      </x:c>
      <x:c r="F177" t="n" s="15">
        <x:v>12</x:v>
      </x:c>
      <x:c r="G177" t="n" s="15">
        <x:f aca="0">E177*F177</x:f>
        <x:v>48</x:v>
      </x:c>
      <x:c r="H177" t="str" s="15">
        <x:f aca="0">IF(AND(Daily!G41=TRUE,COUNT(Daily!AF41,Daily!AG41,Daily!AH41,Daily!AI41)&gt;0),SUM(Daily!AF41,Daily!AG41,Daily!AH41,Daily!AI41),"")</x:f>
      </x:c>
      <x:c r="I177" t="str" s="58">
        <x:f aca="0">IF(AND(ISNUMBER(H177),G177&gt;0),100*H177/G177,"")</x:f>
      </x:c>
      <x:c r="J177" t="n" s="58">
        <x:f aca="0">IF(COUNTIF(Library!$B$3:$B$58,C177)&lt;&gt;1,"",INDEX(Library!$D$3:$D$58,MATCH(C177,Library!$B$3:$B$58,0)))</x:f>
        <x:v>4</x:v>
      </x:c>
      <x:c r="K177" t="n" s="59">
        <x:f aca="0">Daily!AK41</x:f>
        <x:v>0</x:v>
      </x:c>
      <x:c r="L177" t="n" s="60">
        <x:f aca="0">IF(COUNTIF(Library!$B$3:$B$58,C177)&lt;&gt;1,"",IF(COUNTIFS(Library!$B$3:$B$58,C177,Library!$E$3:$E$58,"&lt;&gt;")=0,0,INDEX(Library!$E$3:$E$58,MATCH(C177,Library!$B$3:$B$58,0))))</x:f>
        <x:v>0.04</x:v>
      </x:c>
      <x:c r="M177" t="n" s="58">
        <x:f aca="0">IF(COUNT(J177:L177)&lt;&gt;3,"",MIN(10,J177*(1+K177*L177)))</x:f>
        <x:v>4</x:v>
      </x:c>
      <x:c r="N177" s="58">
        <x:f>E177</x:f>
        <x:v>4</x:v>
      </x:c>
      <x:c r="O177" s="58">
        <x:f>IF(COUNT(M177:N177)&lt;&gt;2,"",M177*N177)</x:f>
        <x:v>16</x:v>
      </x:c>
      <x:c r="P177" s="58"/>
      <x:c r="Q177" s="58"/>
      <x:c r="R177" s="15"/>
      <x:c r="S177" s="15"/>
    </x:row>
    <x:row r="178" ht="24" hidden="0" customHeight="1">
      <x:c r="A178" t="n" s="79">
        <x:f aca="0">Daily!A42</x:f>
        <x:v>46395.5</x:v>
      </x:c>
      <x:c r="B178" t="str" s="16">
        <x:f aca="0">Daily!D42</x:f>
        <x:v>Muscle-up movement + Cal-Intervals</x:v>
      </x:c>
      <x:c r="C178" t="str" s="15">
        <x:v>Low-bar transition</x:v>
      </x:c>
      <x:c r="D178" t="str" s="15">
        <x:v>reps</x:v>
      </x:c>
      <x:c r="E178" t="n" s="15">
        <x:v>4</x:v>
      </x:c>
      <x:c r="F178" t="n" s="15">
        <x:v>3</x:v>
      </x:c>
      <x:c r="G178" t="n" s="15">
        <x:f aca="0">E178*F178</x:f>
        <x:v>12</x:v>
      </x:c>
      <x:c r="H178" t="str" s="15">
        <x:f aca="0">IF(AND(Daily!G42=TRUE,COUNT(Daily!H42,Daily!I42,Daily!J42,Daily!K42)&gt;0),SUM(Daily!H42,Daily!I42,Daily!J42,Daily!K42),"")</x:f>
      </x:c>
      <x:c r="I178" t="str" s="58">
        <x:f aca="0">IF(AND(ISNUMBER(H178),G178&gt;0),100*H178/G178,"")</x:f>
      </x:c>
      <x:c r="J178" t="n" s="58">
        <x:f aca="0">IF(COUNTIF(Library!$B$3:$B$58,C178)&lt;&gt;1,"",INDEX(Library!$D$3:$D$58,MATCH(C178,Library!$B$3:$B$58,0)))</x:f>
        <x:v>4</x:v>
      </x:c>
      <x:c r="K178" t="n" s="59">
        <x:f aca="0">Daily!M42</x:f>
        <x:v>0</x:v>
      </x:c>
      <x:c r="L178" t="n" s="60">
        <x:f aca="0">IF(COUNTIF(Library!$B$3:$B$58,C178)&lt;&gt;1,"",IF(COUNTIFS(Library!$B$3:$B$58,C178,Library!$E$3:$E$58,"&lt;&gt;")=0,0,INDEX(Library!$E$3:$E$58,MATCH(C178,Library!$B$3:$B$58,0))))</x:f>
        <x:v>0</x:v>
      </x:c>
      <x:c r="M178" t="n" s="58">
        <x:f aca="0">IF(COUNT(J178:L178)&lt;&gt;3,"",MIN(10,J178*(1+K178*L178)))</x:f>
        <x:v>4</x:v>
      </x:c>
      <x:c r="N178" s="58">
        <x:f>E178</x:f>
        <x:v>4</x:v>
      </x:c>
      <x:c r="O178" s="58">
        <x:f>IF(COUNT(M178:N178)&lt;&gt;2,"",M178*N178)</x:f>
        <x:v>16</x:v>
      </x:c>
      <x:c r="P178" s="58">
        <x:f>IF(COUNT(O178:O182)&lt;&gt;COUNT(N178:N182),"",ROUND(SUM(O178:O182)/SUM(N178:N182),1))</x:f>
        <x:v>4.4</x:v>
      </x:c>
      <x:c r="Q178" t="str" s="58">
        <x:f aca="0">IF(COUNT(I178:I182)=0,"",MEDIAN(I178:I182))</x:f>
      </x:c>
      <x:c r="R178" t="n" s="15">
        <x:f aca="0">COUNT(I178:I182)</x:f>
        <x:v>0</x:v>
      </x:c>
      <x:c r="S178" t="n" s="15">
        <x:v>5</x:v>
      </x:c>
    </x:row>
    <x:row r="179" ht="24" hidden="0" customHeight="1">
      <x:c r="A179" t="n" s="79">
        <x:f aca="0">Daily!A42</x:f>
        <x:v>46395.5</x:v>
      </x:c>
      <x:c r="B179" t="str" s="16">
        <x:f aca="0">Daily!D42</x:f>
        <x:v>Muscle-up movement + Cal-Intervals</x:v>
      </x:c>
      <x:c r="C179" t="str" s="15">
        <x:v>Handstand walk</x:v>
      </x:c>
      <x:c r="D179" t="str" s="15">
        <x:v>m</x:v>
      </x:c>
      <x:c r="E179" t="n" s="15">
        <x:v>4</x:v>
      </x:c>
      <x:c r="F179" t="n" s="15">
        <x:v>3</x:v>
      </x:c>
      <x:c r="G179" t="n" s="15">
        <x:f aca="0">E179*F179</x:f>
        <x:v>12</x:v>
      </x:c>
      <x:c r="H179" t="str" s="15">
        <x:f aca="0">IF(AND(Daily!G42=TRUE,COUNT(Daily!N42,Daily!O42,Daily!P42,Daily!Q42)&gt;0),SUM(Daily!N42,Daily!O42,Daily!P42,Daily!Q42),"")</x:f>
      </x:c>
      <x:c r="I179" t="str" s="58">
        <x:f aca="0">IF(AND(ISNUMBER(H179),G179&gt;0),100*H179/G179,"")</x:f>
      </x:c>
      <x:c r="J179" t="n" s="58">
        <x:f aca="0">IF(COUNTIF(Library!$B$3:$B$58,C179)&lt;&gt;1,"",INDEX(Library!$D$3:$D$58,MATCH(C179,Library!$B$3:$B$58,0)))</x:f>
        <x:v>3</x:v>
      </x:c>
      <x:c r="K179" t="n" s="59">
        <x:f aca="0">Daily!S42</x:f>
        <x:v>0</x:v>
      </x:c>
      <x:c r="L179" t="n" s="60">
        <x:f aca="0">IF(COUNTIF(Library!$B$3:$B$58,C179)&lt;&gt;1,"",IF(COUNTIFS(Library!$B$3:$B$58,C179,Library!$E$3:$E$58,"&lt;&gt;")=0,0,INDEX(Library!$E$3:$E$58,MATCH(C179,Library!$B$3:$B$58,0))))</x:f>
        <x:v>0</x:v>
      </x:c>
      <x:c r="M179" t="n" s="58">
        <x:f aca="0">IF(COUNT(J179:L179)&lt;&gt;3,"",MIN(10,J179*(1+K179*L179)))</x:f>
        <x:v>3</x:v>
      </x:c>
      <x:c r="N179" s="58">
        <x:f>E179</x:f>
        <x:v>4</x:v>
      </x:c>
      <x:c r="O179" s="58">
        <x:f>IF(COUNT(M179:N179)&lt;&gt;2,"",M179*N179)</x:f>
        <x:v>12</x:v>
      </x:c>
      <x:c r="P179" s="58"/>
      <x:c r="Q179" s="58"/>
      <x:c r="R179" s="15"/>
      <x:c r="S179" s="15"/>
    </x:row>
    <x:row r="180" ht="24" hidden="0" customHeight="1">
      <x:c r="A180" t="n" s="79">
        <x:f aca="0">Daily!A42</x:f>
        <x:v>46395.5</x:v>
      </x:c>
      <x:c r="B180" t="str" s="16">
        <x:f aca="0">Daily!D42</x:f>
        <x:v>Muscle-up movement + Cal-Intervals</x:v>
      </x:c>
      <x:c r="C180" t="str" s="15">
        <x:v>Straight-bar dip</x:v>
      </x:c>
      <x:c r="D180" t="str" s="15">
        <x:v>reps</x:v>
      </x:c>
      <x:c r="E180" t="n" s="15">
        <x:v>4</x:v>
      </x:c>
      <x:c r="F180" t="n" s="15">
        <x:v>8</x:v>
      </x:c>
      <x:c r="G180" t="n" s="15">
        <x:f aca="0">E180*F180</x:f>
        <x:v>32</x:v>
      </x:c>
      <x:c r="H180" t="str" s="15">
        <x:f aca="0">IF(AND(Daily!G42=TRUE,COUNT(Daily!T42,Daily!U42,Daily!V42,Daily!W42)&gt;0),SUM(Daily!T42,Daily!U42,Daily!V42,Daily!W42),"")</x:f>
      </x:c>
      <x:c r="I180" t="str" s="58">
        <x:f aca="0">IF(AND(ISNUMBER(H180),G180&gt;0),100*H180/G180,"")</x:f>
      </x:c>
      <x:c r="J180" t="n" s="58">
        <x:f aca="0">IF(COUNTIF(Library!$B$3:$B$58,C180)&lt;&gt;1,"",INDEX(Library!$D$3:$D$58,MATCH(C180,Library!$B$3:$B$58,0)))</x:f>
        <x:v>4</x:v>
      </x:c>
      <x:c r="K180" t="n" s="59">
        <x:f aca="0">Daily!Y42</x:f>
        <x:v>0</x:v>
      </x:c>
      <x:c r="L180" t="n" s="60">
        <x:f aca="0">IF(COUNTIF(Library!$B$3:$B$58,C180)&lt;&gt;1,"",IF(COUNTIFS(Library!$B$3:$B$58,C180,Library!$E$3:$E$58,"&lt;&gt;")=0,0,INDEX(Library!$E$3:$E$58,MATCH(C180,Library!$B$3:$B$58,0))))</x:f>
        <x:v>0.02</x:v>
      </x:c>
      <x:c r="M180" t="n" s="58">
        <x:f aca="0">IF(COUNT(J180:L180)&lt;&gt;3,"",MIN(10,J180*(1+K180*L180)))</x:f>
        <x:v>4</x:v>
      </x:c>
      <x:c r="N180" s="58">
        <x:f>E180</x:f>
        <x:v>4</x:v>
      </x:c>
      <x:c r="O180" s="58">
        <x:f>IF(COUNT(M180:N180)&lt;&gt;2,"",M180*N180)</x:f>
        <x:v>16</x:v>
      </x:c>
      <x:c r="P180" s="58"/>
      <x:c r="Q180" s="58"/>
      <x:c r="R180" s="15"/>
      <x:c r="S180" s="15"/>
    </x:row>
    <x:row r="181" ht="24" hidden="0" customHeight="1">
      <x:c r="A181" t="n" s="79">
        <x:f aca="0">Daily!A42</x:f>
        <x:v>46395.5</x:v>
      </x:c>
      <x:c r="B181" t="str" s="16">
        <x:f aca="0">Daily!D42</x:f>
        <x:v>Muscle-up movement + Cal-Intervals</x:v>
      </x:c>
      <x:c r="C181" t="str" s="15">
        <x:v>Elevated pike push-up</x:v>
      </x:c>
      <x:c r="D181" t="str" s="15">
        <x:v>reps</x:v>
      </x:c>
      <x:c r="E181" t="n" s="15">
        <x:v>4</x:v>
      </x:c>
      <x:c r="F181" t="n" s="15">
        <x:v>8</x:v>
      </x:c>
      <x:c r="G181" t="n" s="15">
        <x:f aca="0">E181*F181</x:f>
        <x:v>32</x:v>
      </x:c>
      <x:c r="H181" t="str" s="15">
        <x:f aca="0">IF(AND(Daily!G42=TRUE,COUNT(Daily!Z42,Daily!AA42,Daily!AB42,Daily!AC42)&gt;0),SUM(Daily!Z42,Daily!AA42,Daily!AB42,Daily!AC42),"")</x:f>
      </x:c>
      <x:c r="I181" t="str" s="58">
        <x:f aca="0">IF(AND(ISNUMBER(H181),G181&gt;0),100*H181/G181,"")</x:f>
      </x:c>
      <x:c r="J181" t="n" s="58">
        <x:f aca="0">IF(COUNTIF(Library!$B$3:$B$58,C181)&lt;&gt;1,"",INDEX(Library!$D$3:$D$58,MATCH(C181,Library!$B$3:$B$58,0)))</x:f>
        <x:v>4</x:v>
      </x:c>
      <x:c r="K181" t="n" s="59">
        <x:f aca="0">Daily!AE42</x:f>
        <x:v>0</x:v>
      </x:c>
      <x:c r="L181" t="n" s="60">
        <x:f aca="0">IF(COUNTIF(Library!$B$3:$B$58,C181)&lt;&gt;1,"",IF(COUNTIFS(Library!$B$3:$B$58,C181,Library!$E$3:$E$58,"&lt;&gt;")=0,0,INDEX(Library!$E$3:$E$58,MATCH(C181,Library!$B$3:$B$58,0))))</x:f>
        <x:v>0</x:v>
      </x:c>
      <x:c r="M181" t="n" s="58">
        <x:f aca="0">IF(COUNT(J181:L181)&lt;&gt;3,"",MIN(10,J181*(1+K181*L181)))</x:f>
        <x:v>4</x:v>
      </x:c>
      <x:c r="N181" s="58">
        <x:f>E181</x:f>
        <x:v>4</x:v>
      </x:c>
      <x:c r="O181" s="58">
        <x:f>IF(COUNT(M181:N181)&lt;&gt;2,"",M181*N181)</x:f>
        <x:v>16</x:v>
      </x:c>
      <x:c r="P181" s="58"/>
      <x:c r="Q181" s="58"/>
      <x:c r="R181" s="15"/>
      <x:c r="S181" s="15"/>
    </x:row>
    <x:row r="182" ht="24" hidden="0" customHeight="1">
      <x:c r="A182" t="n" s="79">
        <x:f aca="0">Daily!A42</x:f>
        <x:v>46395.5</x:v>
      </x:c>
      <x:c r="B182" t="str" s="16">
        <x:f aca="0">Daily!D42</x:f>
        <x:v>Muscle-up movement + Cal-Intervals</x:v>
      </x:c>
      <x:c r="C182" t="str" s="15">
        <x:v>Cal-Intervals</x:v>
      </x:c>
      <x:c r="D182" t="str" s="15">
        <x:v>rounds</x:v>
      </x:c>
      <x:c r="E182" t="n" s="15">
        <x:v>1</x:v>
      </x:c>
      <x:c r="F182" t="n" s="15">
        <x:v>5</x:v>
      </x:c>
      <x:c r="G182" t="n" s="15">
        <x:v>5</x:v>
      </x:c>
      <x:c r="H182" t="str" s="15">
        <x:f aca="0">IF(AND(Daily!G42=TRUE,ISNUMBER(Daily!AL42),Daily!AL42&gt;0),Daily!AL42,"")</x:f>
      </x:c>
      <x:c r="I182" t="str" s="58">
        <x:f aca="0">IF(ISNUMBER(H182),100*H182/G182,"")</x:f>
      </x:c>
      <x:c r="J182" t="n" s="58">
        <x:f aca="0">SUM(Library!F67:F70)/SUM(Library!E67:E70)</x:f>
        <x:v>5</x:v>
      </x:c>
      <x:c r="K182" s="59"/>
      <x:c r="L182" s="60"/>
      <x:c r="M182" t="n" s="58">
        <x:f aca="0">J182</x:f>
        <x:v>5</x:v>
      </x:c>
      <x:c r="N182" s="58">
        <x:f>G182*COUNT(Library!B67:B70)</x:f>
        <x:v>20</x:v>
      </x:c>
      <x:c r="O182" s="58">
        <x:f>IF(COUNT(M182:N182)&lt;&gt;2,"",M182*N182)</x:f>
        <x:v>100</x:v>
      </x:c>
      <x:c r="P182" s="58"/>
      <x:c r="Q182" s="58"/>
      <x:c r="R182" s="15"/>
      <x:c r="S182" s="15"/>
    </x:row>
    <x:row r="183" ht="24" hidden="0" customHeight="1">
      <x:c r="A183" t="n" s="79">
        <x:f aca="0">Daily!A43</x:f>
        <x:v>46398.5</x:v>
      </x:c>
      <x:c r="B183" t="str" s="16">
        <x:f aca="0">Daily!D43</x:f>
        <x:v>Pull and muscle-up strength</x:v>
      </x:c>
      <x:c r="C183" t="str" s="15">
        <x:v>High pull</x:v>
      </x:c>
      <x:c r="D183" t="str" s="15">
        <x:v>reps</x:v>
      </x:c>
      <x:c r="E183" t="n" s="15">
        <x:v>4</x:v>
      </x:c>
      <x:c r="F183" t="n" s="15">
        <x:v>3</x:v>
      </x:c>
      <x:c r="G183" t="n" s="15">
        <x:f aca="0">E183*F183</x:f>
        <x:v>12</x:v>
      </x:c>
      <x:c r="H183" t="str" s="15">
        <x:f aca="0">IF(AND(Daily!G43=TRUE,COUNT(Daily!H43,Daily!I43,Daily!J43,Daily!K43)&gt;0),SUM(Daily!H43,Daily!I43,Daily!J43,Daily!K43),"")</x:f>
      </x:c>
      <x:c r="I183" t="str" s="58">
        <x:f aca="0">IF(AND(ISNUMBER(H183),G183&gt;0),100*H183/G183,"")</x:f>
      </x:c>
      <x:c r="J183" t="n" s="58">
        <x:f aca="0">IF(COUNTIF(Library!$B$3:$B$58,C183)&lt;&gt;1,"",INDEX(Library!$D$3:$D$58,MATCH(C183,Library!$B$3:$B$58,0)))</x:f>
        <x:v>4</x:v>
      </x:c>
      <x:c r="K183" t="n" s="59">
        <x:f aca="0">Daily!M43</x:f>
        <x:v>0</x:v>
      </x:c>
      <x:c r="L183" t="n" s="60">
        <x:f aca="0">IF(COUNTIF(Library!$B$3:$B$58,C183)&lt;&gt;1,"",IF(COUNTIFS(Library!$B$3:$B$58,C183,Library!$E$3:$E$58,"&lt;&gt;")=0,0,INDEX(Library!$E$3:$E$58,MATCH(C183,Library!$B$3:$B$58,0))))</x:f>
        <x:v>0.04</x:v>
      </x:c>
      <x:c r="M183" t="n" s="58">
        <x:f aca="0">IF(COUNT(J183:L183)&lt;&gt;3,"",MIN(10,J183*(1+K183*L183)))</x:f>
        <x:v>4</x:v>
      </x:c>
      <x:c r="N183" s="58">
        <x:f>E183</x:f>
        <x:v>4</x:v>
      </x:c>
      <x:c r="O183" s="58">
        <x:f>IF(COUNT(M183:N183)&lt;&gt;2,"",M183*N183)</x:f>
        <x:v>16</x:v>
      </x:c>
      <x:c r="P183" s="58">
        <x:f>IF(COUNT(O183:O187)&lt;&gt;COUNT(N183:N187),"",ROUND(SUM(O183:O187)/SUM(N183:N187),1))</x:f>
        <x:v>4</x:v>
      </x:c>
      <x:c r="Q183" t="str" s="58">
        <x:f>IF(COUNT(I183:I187)=0,"",MEDIAN(I183:I187))</x:f>
      </x:c>
      <x:c r="R183" t="n" s="15">
        <x:f>COUNT(I183:I187)</x:f>
        <x:v>0</x:v>
      </x:c>
      <x:c r="S183" t="n" s="15">
        <x:v>5</x:v>
      </x:c>
    </x:row>
    <x:row r="184" ht="24" hidden="0" customHeight="1">
      <x:c r="A184" t="n" s="79">
        <x:f aca="0">Daily!A43</x:f>
        <x:v>46398.5</x:v>
      </x:c>
      <x:c r="B184" t="str" s="16">
        <x:f aca="0">Daily!D43</x:f>
        <x:v>Pull and muscle-up strength</x:v>
      </x:c>
      <x:c r="C184" t="str" s="15">
        <x:v>Pull-up</x:v>
      </x:c>
      <x:c r="D184" t="str" s="15">
        <x:v>reps</x:v>
      </x:c>
      <x:c r="E184" t="n" s="15">
        <x:v>4</x:v>
      </x:c>
      <x:c r="F184" t="n" s="15">
        <x:v>6</x:v>
      </x:c>
      <x:c r="G184" t="n" s="15">
        <x:f aca="0">E184*F184</x:f>
        <x:v>24</x:v>
      </x:c>
      <x:c r="H184" t="str" s="15">
        <x:f aca="0">IF(AND(Daily!G43=TRUE,COUNT(Daily!N43,Daily!O43,Daily!P43,Daily!Q43)&gt;0),SUM(Daily!N43,Daily!O43,Daily!P43,Daily!Q43),"")</x:f>
      </x:c>
      <x:c r="I184" t="str" s="58">
        <x:f aca="0">IF(AND(ISNUMBER(H184),G184&gt;0),100*H184/G184,"")</x:f>
      </x:c>
      <x:c r="J184" t="n" s="58">
        <x:f aca="0">IF(COUNTIF(Library!$B$3:$B$58,C184)&lt;&gt;1,"",INDEX(Library!$D$3:$D$58,MATCH(C184,Library!$B$3:$B$58,0)))</x:f>
        <x:v>6</x:v>
      </x:c>
      <x:c r="K184" t="n" s="59">
        <x:f aca="0">Daily!S43</x:f>
        <x:v>0</x:v>
      </x:c>
      <x:c r="L184" t="n" s="60">
        <x:f aca="0">IF(COUNTIF(Library!$B$3:$B$58,C184)&lt;&gt;1,"",IF(COUNTIFS(Library!$B$3:$B$58,C184,Library!$E$3:$E$58,"&lt;&gt;")=0,0,INDEX(Library!$E$3:$E$58,MATCH(C184,Library!$B$3:$B$58,0))))</x:f>
        <x:v>0.04</x:v>
      </x:c>
      <x:c r="M184" t="n" s="58">
        <x:f aca="0">IF(COUNT(J184:L184)&lt;&gt;3,"",MIN(10,J184*(1+K184*L184)))</x:f>
        <x:v>6</x:v>
      </x:c>
      <x:c r="N184" s="58">
        <x:f>E184</x:f>
        <x:v>4</x:v>
      </x:c>
      <x:c r="O184" s="58">
        <x:f>IF(COUNT(M184:N184)&lt;&gt;2,"",M184*N184)</x:f>
        <x:v>24</x:v>
      </x:c>
      <x:c r="P184" s="58"/>
      <x:c r="Q184" s="58"/>
      <x:c r="R184" s="15"/>
      <x:c r="S184" s="15"/>
    </x:row>
    <x:row r="185" ht="24" hidden="0" customHeight="1">
      <x:c r="A185" t="n" s="79">
        <x:f aca="0">Daily!A43</x:f>
        <x:v>46398.5</x:v>
      </x:c>
      <x:c r="B185" t="str" s="16">
        <x:f aca="0">Daily!D43</x:f>
        <x:v>Pull and muscle-up strength</x:v>
      </x:c>
      <x:c r="C185" t="str" s="15">
        <x:v>Parallel-bar dip</x:v>
      </x:c>
      <x:c r="D185" t="str" s="15">
        <x:v>reps</x:v>
      </x:c>
      <x:c r="E185" t="n" s="15">
        <x:v>4</x:v>
      </x:c>
      <x:c r="F185" t="n" s="15">
        <x:v>12</x:v>
      </x:c>
      <x:c r="G185" t="n" s="15">
        <x:f aca="0">E185*F185</x:f>
        <x:v>48</x:v>
      </x:c>
      <x:c r="H185" t="str" s="15">
        <x:f aca="0">IF(AND(Daily!G43=TRUE,COUNT(Daily!T43,Daily!U43,Daily!V43,Daily!W43)&gt;0),SUM(Daily!T43,Daily!U43,Daily!V43,Daily!W43),"")</x:f>
      </x:c>
      <x:c r="I185" t="str" s="58">
        <x:f aca="0">IF(AND(ISNUMBER(H185),G185&gt;0),100*H185/G185,"")</x:f>
      </x:c>
      <x:c r="J185" t="n" s="58">
        <x:f aca="0">IF(COUNTIF(Library!$B$3:$B$58,C185)&lt;&gt;1,"",INDEX(Library!$D$3:$D$58,MATCH(C185,Library!$B$3:$B$58,0)))</x:f>
        <x:v>4</x:v>
      </x:c>
      <x:c r="K185" t="n" s="59">
        <x:f aca="0">Daily!Y43</x:f>
        <x:v>0</x:v>
      </x:c>
      <x:c r="L185" t="n" s="60">
        <x:f aca="0">IF(COUNTIF(Library!$B$3:$B$58,C185)&lt;&gt;1,"",IF(COUNTIFS(Library!$B$3:$B$58,C185,Library!$E$3:$E$58,"&lt;&gt;")=0,0,INDEX(Library!$E$3:$E$58,MATCH(C185,Library!$B$3:$B$58,0))))</x:f>
        <x:v>0.02</x:v>
      </x:c>
      <x:c r="M185" t="n" s="58">
        <x:f aca="0">IF(COUNT(J185:L185)&lt;&gt;3,"",MIN(10,J185*(1+K185*L185)))</x:f>
        <x:v>4</x:v>
      </x:c>
      <x:c r="N185" s="58">
        <x:f>E185</x:f>
        <x:v>4</x:v>
      </x:c>
      <x:c r="O185" s="58">
        <x:f>IF(COUNT(M185:N185)&lt;&gt;2,"",M185*N185)</x:f>
        <x:v>16</x:v>
      </x:c>
      <x:c r="P185" s="58"/>
      <x:c r="Q185" s="58"/>
      <x:c r="R185" s="15"/>
      <x:c r="S185" s="15"/>
    </x:row>
    <x:row r="186" ht="24" hidden="0" customHeight="1">
      <x:c r="A186" t="n" s="79">
        <x:f aca="0">Daily!A43</x:f>
        <x:v>46398.5</x:v>
      </x:c>
      <x:c r="B186" t="str" s="16">
        <x:f aca="0">Daily!D43</x:f>
        <x:v>Pull and muscle-up strength</x:v>
      </x:c>
      <x:c r="C186" t="str" s="15">
        <x:v>Box pistol</x:v>
      </x:c>
      <x:c r="D186" t="str" s="15">
        <x:v>reps/leg</x:v>
      </x:c>
      <x:c r="E186" t="n" s="15">
        <x:v>4</x:v>
      </x:c>
      <x:c r="F186" t="n" s="15">
        <x:v>5</x:v>
      </x:c>
      <x:c r="G186" t="n" s="15">
        <x:f aca="0">E186*F186</x:f>
        <x:v>20</x:v>
      </x:c>
      <x:c r="H186" t="str" s="15">
        <x:f aca="0">IF(AND(Daily!G43=TRUE,COUNT(Daily!Z43,Daily!AA43,Daily!AB43,Daily!AC43)&gt;0),SUM(Daily!Z43,Daily!AA43,Daily!AB43,Daily!AC43),"")</x:f>
      </x:c>
      <x:c r="I186" t="str" s="58">
        <x:f aca="0">IF(AND(ISNUMBER(H186),G186&gt;0),100*H186/G186,"")</x:f>
      </x:c>
      <x:c r="J186" t="n" s="58">
        <x:f aca="0">IF(COUNTIF(Library!$B$3:$B$58,C186)&lt;&gt;1,"",INDEX(Library!$D$3:$D$58,MATCH(C186,Library!$B$3:$B$58,0)))</x:f>
        <x:v>2</x:v>
      </x:c>
      <x:c r="K186" t="n" s="59">
        <x:f aca="0">Daily!AE43</x:f>
        <x:v>0</x:v>
      </x:c>
      <x:c r="L186" t="n" s="60">
        <x:f aca="0">IF(COUNTIF(Library!$B$3:$B$58,C186)&lt;&gt;1,"",IF(COUNTIFS(Library!$B$3:$B$58,C186,Library!$E$3:$E$58,"&lt;&gt;")=0,0,INDEX(Library!$E$3:$E$58,MATCH(C186,Library!$B$3:$B$58,0))))</x:f>
        <x:v>0.03</x:v>
      </x:c>
      <x:c r="M186" t="n" s="58">
        <x:f aca="0">IF(COUNT(J186:L186)&lt;&gt;3,"",MIN(10,J186*(1+K186*L186)))</x:f>
        <x:v>2</x:v>
      </x:c>
      <x:c r="N186" s="58">
        <x:f>E186</x:f>
        <x:v>4</x:v>
      </x:c>
      <x:c r="O186" s="58">
        <x:f>IF(COUNT(M186:N186)&lt;&gt;2,"",M186*N186)</x:f>
        <x:v>8</x:v>
      </x:c>
      <x:c r="P186" s="58"/>
      <x:c r="Q186" s="58"/>
      <x:c r="R186" s="15"/>
      <x:c r="S186" s="15"/>
    </x:row>
    <x:row r="187" ht="24" hidden="0" customHeight="1">
      <x:c r="A187" t="n" s="79">
        <x:f aca="0">Daily!A43</x:f>
        <x:v>46398.5</x:v>
      </x:c>
      <x:c r="B187" t="str" s="16">
        <x:f aca="0">Daily!D43</x:f>
        <x:v>Pull and muscle-up strength</x:v>
      </x:c>
      <x:c r="C187" t="str" s="15">
        <x:v>Sliding hamstring curl</x:v>
      </x:c>
      <x:c r="D187" t="str" s="15">
        <x:v>reps</x:v>
      </x:c>
      <x:c r="E187" t="n" s="15">
        <x:v>3</x:v>
      </x:c>
      <x:c r="F187" t="n" s="15">
        <x:v>10</x:v>
      </x:c>
      <x:c r="G187" t="n" s="15">
        <x:f aca="0">E187*F187</x:f>
        <x:v>30</x:v>
      </x:c>
      <x:c r="H187" t="str" s="15">
        <x:f aca="0">IF(AND(Daily!G43=TRUE,COUNT(Daily!AF43,Daily!AG43,Daily!AH43)&gt;0),SUM(Daily!AF43,Daily!AG43,Daily!AH43),"")</x:f>
      </x:c>
      <x:c r="I187" t="str" s="58">
        <x:f aca="0">IF(AND(ISNUMBER(H187),G187&gt;0),100*H187/G187,"")</x:f>
      </x:c>
      <x:c r="J187" t="n" s="58">
        <x:f aca="0">IF(COUNTIF(Library!$B$3:$B$58,C187)&lt;&gt;1,"",INDEX(Library!$D$3:$D$58,MATCH(C187,Library!$B$3:$B$58,0)))</x:f>
        <x:v>4</x:v>
      </x:c>
      <x:c r="K187" t="n" s="59">
        <x:f aca="0">Daily!AK43</x:f>
        <x:v>0</x:v>
      </x:c>
      <x:c r="L187" t="n" s="60">
        <x:f aca="0">IF(COUNTIF(Library!$B$3:$B$58,C187)&lt;&gt;1,"",IF(COUNTIFS(Library!$B$3:$B$58,C187,Library!$E$3:$E$58,"&lt;&gt;")=0,0,INDEX(Library!$E$3:$E$58,MATCH(C187,Library!$B$3:$B$58,0))))</x:f>
        <x:v>0</x:v>
      </x:c>
      <x:c r="M187" t="n" s="58">
        <x:f aca="0">IF(COUNT(J187:L187)&lt;&gt;3,"",MIN(10,J187*(1+K187*L187)))</x:f>
        <x:v>4</x:v>
      </x:c>
      <x:c r="N187" s="58">
        <x:f>E187</x:f>
        <x:v>3</x:v>
      </x:c>
      <x:c r="O187" s="58">
        <x:f>IF(COUNT(M187:N187)&lt;&gt;2,"",M187*N187)</x:f>
        <x:v>12</x:v>
      </x:c>
      <x:c r="P187" s="58"/>
      <x:c r="Q187" s="58"/>
      <x:c r="R187" s="15"/>
      <x:c r="S187" s="15"/>
    </x:row>
    <x:row r="188" ht="24" hidden="0" customHeight="1">
      <x:c r="A188" t="n" s="79">
        <x:f aca="0">Daily!A44</x:f>
        <x:v>46399.5</x:v>
      </x:c>
      <x:c r="B188" t="str" s="16">
        <x:f aca="0">Daily!D44</x:f>
        <x:v>Optional movement practice</x:v>
      </x:c>
      <x:c r="C188" t="str" s="15">
        <x:v>Wrist/shoulder mobility</x:v>
      </x:c>
      <x:c r="D188" t="str" s="15">
        <x:v>seconds</x:v>
      </x:c>
      <x:c r="E188" t="n" s="15">
        <x:v>1</x:v>
      </x:c>
      <x:c r="F188" t="n" s="15">
        <x:v>120</x:v>
      </x:c>
      <x:c r="G188" t="n" s="15">
        <x:f aca="0">E188*F188</x:f>
        <x:v>120</x:v>
      </x:c>
      <x:c r="H188" t="str" s="15">
        <x:f aca="0">IF(AND(Daily!G44=TRUE,COUNT(Daily!H44)&gt;0),SUM(Daily!H44)*86400,"")</x:f>
      </x:c>
      <x:c r="I188" t="str" s="58">
        <x:f aca="0">IF(AND(ISNUMBER(H188),G188&gt;0),100*H188/G188,"")</x:f>
      </x:c>
      <x:c r="J188" t="n" s="58">
        <x:f aca="0">IF(COUNTIF(Library!$B$3:$B$58,C188)&lt;&gt;1,"",INDEX(Library!$D$3:$D$58,MATCH(C188,Library!$B$3:$B$58,0)))</x:f>
        <x:v>1</x:v>
      </x:c>
      <x:c r="K188" t="n" s="59">
        <x:f aca="0">Daily!M44</x:f>
        <x:v>0</x:v>
      </x:c>
      <x:c r="L188" t="n" s="60">
        <x:f aca="0">IF(COUNTIF(Library!$B$3:$B$58,C188)&lt;&gt;1,"",IF(COUNTIFS(Library!$B$3:$B$58,C188,Library!$E$3:$E$58,"&lt;&gt;")=0,0,INDEX(Library!$E$3:$E$58,MATCH(C188,Library!$B$3:$B$58,0))))</x:f>
        <x:v>0</x:v>
      </x:c>
      <x:c r="M188" t="n" s="58">
        <x:f aca="0">IF(COUNT(J188:L188)&lt;&gt;3,"",MIN(10,J188*(1+K188*L188)))</x:f>
        <x:v>1</x:v>
      </x:c>
      <x:c r="N188" s="58">
        <x:f>E188</x:f>
        <x:v>1</x:v>
      </x:c>
      <x:c r="O188" s="58">
        <x:f>IF(COUNT(M188:N188)&lt;&gt;2,"",M188*N188)</x:f>
        <x:v>1</x:v>
      </x:c>
      <x:c r="P188" s="58">
        <x:f>IF(COUNT(O188:O190)&lt;&gt;COUNT(N188:N190),"",ROUND(SUM(O188:O190)/SUM(N188:N190),1))</x:f>
        <x:v>1</x:v>
      </x:c>
      <x:c r="Q188" t="str" s="58">
        <x:f>IF(COUNT(I188:I190)=0,"",MEDIAN(I188:I190))</x:f>
      </x:c>
      <x:c r="R188" t="n" s="15">
        <x:f>COUNT(I188:I190)</x:f>
        <x:v>0</x:v>
      </x:c>
      <x:c r="S188" t="n" s="15">
        <x:v>3</x:v>
      </x:c>
    </x:row>
    <x:row r="189" ht="24" hidden="0" customHeight="1">
      <x:c r="A189" t="n" s="79">
        <x:f aca="0">Daily!A44</x:f>
        <x:v>46399.5</x:v>
      </x:c>
      <x:c r="B189" t="str" s="16">
        <x:f aca="0">Daily!D44</x:f>
        <x:v>Optional movement practice</x:v>
      </x:c>
      <x:c r="C189" t="str" s="15">
        <x:v>Easy handstand walk</x:v>
      </x:c>
      <x:c r="D189" t="str" s="15">
        <x:v>m</x:v>
      </x:c>
      <x:c r="E189" t="n" s="15">
        <x:v>3</x:v>
      </x:c>
      <x:c r="F189" t="n" s="15">
        <x:v>2</x:v>
      </x:c>
      <x:c r="G189" t="n" s="15">
        <x:f>E189*F189</x:f>
        <x:v>6</x:v>
      </x:c>
      <x:c r="H189" t="str" s="15">
        <x:f aca="0">IF(AND(Daily!G44=TRUE,COUNT(Daily!N44,Daily!O44,Daily!P44)&gt;0),SUM(Daily!N44,Daily!O44,Daily!P44),"")</x:f>
      </x:c>
      <x:c r="I189" t="str" s="58">
        <x:f aca="0">IF(AND(ISNUMBER(H189),G189&gt;0),100*H189/G189,"")</x:f>
      </x:c>
      <x:c r="J189" t="n" s="58">
        <x:f aca="0">IF(COUNTIF(Library!$B$3:$B$58,C189)&lt;&gt;1,"",INDEX(Library!$D$3:$D$58,MATCH(C189,Library!$B$3:$B$58,0)))</x:f>
        <x:v>1</x:v>
      </x:c>
      <x:c r="K189" t="n" s="59">
        <x:f>Daily!S44</x:f>
        <x:v>0</x:v>
      </x:c>
      <x:c r="L189" t="n" s="60">
        <x:f>IF(COUNTIF(Library!$B$3:$B$58,C189)&lt;&gt;1,"",IF(COUNTIFS(Library!$B$3:$B$58,C189,Library!$E$3:$E$58,"&lt;&gt;")=0,0,INDEX(Library!$E$3:$E$58,MATCH(C189,Library!$B$3:$B$58,0))))</x:f>
        <x:v>0</x:v>
      </x:c>
      <x:c r="M189" t="n" s="58">
        <x:f aca="0">IF(COUNT(J189:L189)&lt;&gt;3,"",MIN(10,J189*(1+K189*L189)))</x:f>
        <x:v>1</x:v>
      </x:c>
      <x:c r="N189" s="58">
        <x:f>E189</x:f>
        <x:v>3</x:v>
      </x:c>
      <x:c r="O189" s="58">
        <x:f>IF(COUNT(M189:N189)&lt;&gt;2,"",M189*N189)</x:f>
        <x:v>3</x:v>
      </x:c>
      <x:c r="P189" s="58"/>
      <x:c r="Q189" s="58"/>
      <x:c r="R189" s="15"/>
      <x:c r="S189" s="15"/>
    </x:row>
    <x:row r="190" ht="24" hidden="0" customHeight="1">
      <x:c r="A190" t="n" s="79">
        <x:f aca="0">Daily!A44</x:f>
        <x:v>46399.5</x:v>
      </x:c>
      <x:c r="B190" t="str" s="16">
        <x:f aca="0">Daily!D44</x:f>
        <x:v>Optional movement practice</x:v>
      </x:c>
      <x:c r="C190" t="str" s="15">
        <x:v>Easy bear crawl</x:v>
      </x:c>
      <x:c r="D190" t="str" s="15">
        <x:v>seconds</x:v>
      </x:c>
      <x:c r="E190" t="n" s="15">
        <x:v>3</x:v>
      </x:c>
      <x:c r="F190" t="n" s="15">
        <x:v>20</x:v>
      </x:c>
      <x:c r="G190" t="n" s="15">
        <x:f aca="0">E190*F190</x:f>
        <x:v>60</x:v>
      </x:c>
      <x:c r="H190" t="str" s="15">
        <x:f aca="0">IF(AND(Daily!G44=TRUE,COUNT(Daily!T44,Daily!U44,Daily!V44)&gt;0),SUM(Daily!T44,Daily!U44,Daily!V44)*86400,"")</x:f>
      </x:c>
      <x:c r="I190" t="str" s="58">
        <x:f aca="0">IF(AND(ISNUMBER(H190),G190&gt;0),100*H190/G190,"")</x:f>
      </x:c>
      <x:c r="J190" t="n" s="58">
        <x:f aca="0">IF(COUNTIF(Library!$B$3:$B$58,C190)&lt;&gt;1,"",INDEX(Library!$D$3:$D$58,MATCH(C190,Library!$B$3:$B$58,0)))</x:f>
        <x:v>1</x:v>
      </x:c>
      <x:c r="K190" t="n" s="59">
        <x:f aca="0">Daily!Y44</x:f>
        <x:v>0</x:v>
      </x:c>
      <x:c r="L190" t="n" s="60">
        <x:f aca="0">IF(COUNTIF(Library!$B$3:$B$58,C190)&lt;&gt;1,"",IF(COUNTIFS(Library!$B$3:$B$58,C190,Library!$E$3:$E$58,"&lt;&gt;")=0,0,INDEX(Library!$E$3:$E$58,MATCH(C190,Library!$B$3:$B$58,0))))</x:f>
        <x:v>0</x:v>
      </x:c>
      <x:c r="M190" t="n" s="58">
        <x:f aca="0">IF(COUNT(J190:L190)&lt;&gt;3,"",MIN(10,J190*(1+K190*L190)))</x:f>
        <x:v>1</x:v>
      </x:c>
      <x:c r="N190" s="58">
        <x:f>E190</x:f>
        <x:v>3</x:v>
      </x:c>
      <x:c r="O190" s="58">
        <x:f>IF(COUNT(M190:N190)&lt;&gt;2,"",M190*N190)</x:f>
        <x:v>3</x:v>
      </x:c>
      <x:c r="P190" s="58"/>
      <x:c r="Q190" s="58"/>
      <x:c r="R190" s="15"/>
      <x:c r="S190" s="15"/>
    </x:row>
    <x:row r="191" ht="24" hidden="0" customHeight="1">
      <x:c r="A191" t="n" s="79">
        <x:f aca="0">Daily!A45</x:f>
        <x:v>46400.5</x:v>
      </x:c>
      <x:c r="B191" t="str" s="16">
        <x:f aca="0">Daily!D45</x:f>
        <x:v>Handstand movement and strength</x:v>
      </x:c>
      <x:c r="C191" t="str" s="15">
        <x:v>Handstand walk</x:v>
      </x:c>
      <x:c r="D191" t="str" s="15">
        <x:v>m</x:v>
      </x:c>
      <x:c r="E191" t="n" s="15">
        <x:v>3</x:v>
      </x:c>
      <x:c r="F191" t="n" s="15">
        <x:v>3</x:v>
      </x:c>
      <x:c r="G191" t="n" s="15">
        <x:f aca="0">E191*F191</x:f>
        <x:v>9</x:v>
      </x:c>
      <x:c r="H191" t="str" s="15">
        <x:f aca="0">IF(AND(Daily!G45=TRUE,COUNT(Daily!H45,Daily!I45,Daily!J45)&gt;0),SUM(Daily!H45,Daily!I45,Daily!J45),"")</x:f>
      </x:c>
      <x:c r="I191" t="str" s="58">
        <x:f aca="0">IF(AND(ISNUMBER(H191),G191&gt;0),100*H191/G191,"")</x:f>
      </x:c>
      <x:c r="J191" t="n" s="58">
        <x:f aca="0">IF(COUNTIF(Library!$B$3:$B$58,C191)&lt;&gt;1,"",INDEX(Library!$D$3:$D$58,MATCH(C191,Library!$B$3:$B$58,0)))</x:f>
        <x:v>3</x:v>
      </x:c>
      <x:c r="K191" t="n" s="59">
        <x:f aca="0">Daily!M45</x:f>
        <x:v>0</x:v>
      </x:c>
      <x:c r="L191" t="n" s="60">
        <x:f aca="0">IF(COUNTIF(Library!$B$3:$B$58,C191)&lt;&gt;1,"",IF(COUNTIFS(Library!$B$3:$B$58,C191,Library!$E$3:$E$58,"&lt;&gt;")=0,0,INDEX(Library!$E$3:$E$58,MATCH(C191,Library!$B$3:$B$58,0))))</x:f>
        <x:v>0</x:v>
      </x:c>
      <x:c r="M191" t="n" s="58">
        <x:f aca="0">IF(COUNT(J191:L191)&lt;&gt;3,"",MIN(10,J191*(1+K191*L191)))</x:f>
        <x:v>3</x:v>
      </x:c>
      <x:c r="N191" s="58">
        <x:f>E191</x:f>
        <x:v>3</x:v>
      </x:c>
      <x:c r="O191" s="58">
        <x:f>IF(COUNT(M191:N191)&lt;&gt;2,"",M191*N191)</x:f>
        <x:v>9</x:v>
      </x:c>
      <x:c r="P191" s="58">
        <x:f>IF(COUNT(O191:O195)&lt;&gt;COUNT(N191:N195),"",ROUND(SUM(O191:O195)/SUM(N191:N195),1))</x:f>
        <x:v>3.8</x:v>
      </x:c>
      <x:c r="Q191" t="str" s="58">
        <x:f>IF(COUNT(I191:I195)=0,"",MEDIAN(I191:I195))</x:f>
      </x:c>
      <x:c r="R191" t="n" s="15">
        <x:f>COUNT(I191:I195)</x:f>
        <x:v>0</x:v>
      </x:c>
      <x:c r="S191" t="n" s="15">
        <x:v>5</x:v>
      </x:c>
    </x:row>
    <x:row r="192" ht="24" hidden="0" customHeight="1">
      <x:c r="A192" t="n" s="79">
        <x:f aca="0">Daily!A45</x:f>
        <x:v>46400.5</x:v>
      </x:c>
      <x:c r="B192" t="str" s="16">
        <x:f aca="0">Daily!D45</x:f>
        <x:v>Handstand movement and strength</x:v>
      </x:c>
      <x:c r="C192" t="str" s="15">
        <x:v>Elevated pike push-up</x:v>
      </x:c>
      <x:c r="D192" t="str" s="15">
        <x:v>reps</x:v>
      </x:c>
      <x:c r="E192" t="n" s="15">
        <x:v>4</x:v>
      </x:c>
      <x:c r="F192" t="n" s="15">
        <x:v>8</x:v>
      </x:c>
      <x:c r="G192" t="n" s="15">
        <x:f aca="0">E192*F192</x:f>
        <x:v>32</x:v>
      </x:c>
      <x:c r="H192" t="str" s="15">
        <x:f aca="0">IF(AND(Daily!G45=TRUE,COUNT(Daily!N45,Daily!O45,Daily!P45,Daily!Q45)&gt;0),SUM(Daily!N45,Daily!O45,Daily!P45,Daily!Q45),"")</x:f>
      </x:c>
      <x:c r="I192" t="str" s="58">
        <x:f aca="0">IF(AND(ISNUMBER(H192),G192&gt;0),100*H192/G192,"")</x:f>
      </x:c>
      <x:c r="J192" t="n" s="58">
        <x:f aca="0">IF(COUNTIF(Library!$B$3:$B$58,C192)&lt;&gt;1,"",INDEX(Library!$D$3:$D$58,MATCH(C192,Library!$B$3:$B$58,0)))</x:f>
        <x:v>4</x:v>
      </x:c>
      <x:c r="K192" t="n" s="59">
        <x:f aca="0">Daily!S45</x:f>
        <x:v>0</x:v>
      </x:c>
      <x:c r="L192" t="n" s="60">
        <x:f aca="0">IF(COUNTIF(Library!$B$3:$B$58,C192)&lt;&gt;1,"",IF(COUNTIFS(Library!$B$3:$B$58,C192,Library!$E$3:$E$58,"&lt;&gt;")=0,0,INDEX(Library!$E$3:$E$58,MATCH(C192,Library!$B$3:$B$58,0))))</x:f>
        <x:v>0</x:v>
      </x:c>
      <x:c r="M192" t="n" s="58">
        <x:f aca="0">IF(COUNT(J192:L192)&lt;&gt;3,"",MIN(10,J192*(1+K192*L192)))</x:f>
        <x:v>4</x:v>
      </x:c>
      <x:c r="N192" s="58">
        <x:f>E192</x:f>
        <x:v>4</x:v>
      </x:c>
      <x:c r="O192" s="58">
        <x:f>IF(COUNT(M192:N192)&lt;&gt;2,"",M192*N192)</x:f>
        <x:v>16</x:v>
      </x:c>
      <x:c r="P192" s="58"/>
      <x:c r="Q192" s="58"/>
      <x:c r="R192" s="15"/>
      <x:c r="S192" s="15"/>
    </x:row>
    <x:row r="193" ht="24" hidden="0" customHeight="1">
      <x:c r="A193" t="n" s="79">
        <x:f aca="0">Daily!A45</x:f>
        <x:v>46400.5</x:v>
      </x:c>
      <x:c r="B193" t="str" s="16">
        <x:f aca="0">Daily!D45</x:f>
        <x:v>Handstand movement and strength</x:v>
      </x:c>
      <x:c r="C193" t="str" s="15">
        <x:v>Pull-up</x:v>
      </x:c>
      <x:c r="D193" t="str" s="15">
        <x:v>reps</x:v>
      </x:c>
      <x:c r="E193" t="n" s="15">
        <x:v>4</x:v>
      </x:c>
      <x:c r="F193" t="n" s="15">
        <x:v>6</x:v>
      </x:c>
      <x:c r="G193" t="n" s="15">
        <x:f aca="0">E193*F193</x:f>
        <x:v>24</x:v>
      </x:c>
      <x:c r="H193" t="str" s="15">
        <x:f aca="0">IF(AND(Daily!G45=TRUE,COUNT(Daily!T45,Daily!U45,Daily!V45,Daily!W45)&gt;0),SUM(Daily!T45,Daily!U45,Daily!V45,Daily!W45),"")</x:f>
      </x:c>
      <x:c r="I193" t="str" s="58">
        <x:f aca="0">IF(AND(ISNUMBER(H193),G193&gt;0),100*H193/G193,"")</x:f>
      </x:c>
      <x:c r="J193" t="n" s="58">
        <x:f aca="0">IF(COUNTIF(Library!$B$3:$B$58,C193)&lt;&gt;1,"",INDEX(Library!$D$3:$D$58,MATCH(C193,Library!$B$3:$B$58,0)))</x:f>
        <x:v>6</x:v>
      </x:c>
      <x:c r="K193" t="n" s="59">
        <x:f aca="0">Daily!Y45</x:f>
        <x:v>0</x:v>
      </x:c>
      <x:c r="L193" t="n" s="60">
        <x:f aca="0">IF(COUNTIF(Library!$B$3:$B$58,C193)&lt;&gt;1,"",IF(COUNTIFS(Library!$B$3:$B$58,C193,Library!$E$3:$E$58,"&lt;&gt;")=0,0,INDEX(Library!$E$3:$E$58,MATCH(C193,Library!$B$3:$B$58,0))))</x:f>
        <x:v>0.04</x:v>
      </x:c>
      <x:c r="M193" t="n" s="58">
        <x:f aca="0">IF(COUNT(J193:L193)&lt;&gt;3,"",MIN(10,J193*(1+K193*L193)))</x:f>
        <x:v>6</x:v>
      </x:c>
      <x:c r="N193" s="58">
        <x:f>E193</x:f>
        <x:v>4</x:v>
      </x:c>
      <x:c r="O193" s="58">
        <x:f>IF(COUNT(M193:N193)&lt;&gt;2,"",M193*N193)</x:f>
        <x:v>24</x:v>
      </x:c>
      <x:c r="P193" s="58"/>
      <x:c r="Q193" s="58"/>
      <x:c r="R193" s="15"/>
      <x:c r="S193" s="15"/>
    </x:row>
    <x:row r="194" ht="24" hidden="0" customHeight="1">
      <x:c r="A194" t="n" s="79">
        <x:f aca="0">Daily!A45</x:f>
        <x:v>46400.5</x:v>
      </x:c>
      <x:c r="B194" t="str" s="16">
        <x:f aca="0">Daily!D45</x:f>
        <x:v>Handstand movement and strength</x:v>
      </x:c>
      <x:c r="C194" t="str" s="15">
        <x:v>Box pistol</x:v>
      </x:c>
      <x:c r="D194" t="str" s="15">
        <x:v>reps/leg</x:v>
      </x:c>
      <x:c r="E194" t="n" s="15">
        <x:v>4</x:v>
      </x:c>
      <x:c r="F194" t="n" s="15">
        <x:v>5</x:v>
      </x:c>
      <x:c r="G194" t="n" s="15">
        <x:f aca="0">E194*F194</x:f>
        <x:v>20</x:v>
      </x:c>
      <x:c r="H194" t="str" s="15">
        <x:f aca="0">IF(AND(Daily!G45=TRUE,COUNT(Daily!Z45,Daily!AA45,Daily!AB45,Daily!AC45)&gt;0),SUM(Daily!Z45,Daily!AA45,Daily!AB45,Daily!AC45),"")</x:f>
      </x:c>
      <x:c r="I194" t="str" s="58">
        <x:f aca="0">IF(AND(ISNUMBER(H194),G194&gt;0),100*H194/G194,"")</x:f>
      </x:c>
      <x:c r="J194" t="n" s="58">
        <x:f aca="0">IF(COUNTIF(Library!$B$3:$B$58,C194)&lt;&gt;1,"",INDEX(Library!$D$3:$D$58,MATCH(C194,Library!$B$3:$B$58,0)))</x:f>
        <x:v>2</x:v>
      </x:c>
      <x:c r="K194" t="n" s="59">
        <x:f aca="0">Daily!AE45</x:f>
        <x:v>0</x:v>
      </x:c>
      <x:c r="L194" t="n" s="60">
        <x:f aca="0">IF(COUNTIF(Library!$B$3:$B$58,C194)&lt;&gt;1,"",IF(COUNTIFS(Library!$B$3:$B$58,C194,Library!$E$3:$E$58,"&lt;&gt;")=0,0,INDEX(Library!$E$3:$E$58,MATCH(C194,Library!$B$3:$B$58,0))))</x:f>
        <x:v>0.03</x:v>
      </x:c>
      <x:c r="M194" t="n" s="58">
        <x:f aca="0">IF(COUNT(J194:L194)&lt;&gt;3,"",MIN(10,J194*(1+K194*L194)))</x:f>
        <x:v>2</x:v>
      </x:c>
      <x:c r="N194" s="58">
        <x:f>E194</x:f>
        <x:v>4</x:v>
      </x:c>
      <x:c r="O194" s="58">
        <x:f>IF(COUNT(M194:N194)&lt;&gt;2,"",M194*N194)</x:f>
        <x:v>8</x:v>
      </x:c>
      <x:c r="P194" s="58"/>
      <x:c r="Q194" s="58"/>
      <x:c r="R194" s="15"/>
      <x:c r="S194" s="15"/>
    </x:row>
    <x:row r="195" ht="24" hidden="0" customHeight="1">
      <x:c r="A195" t="n" s="79">
        <x:f aca="0">Daily!A45</x:f>
        <x:v>46400.5</x:v>
      </x:c>
      <x:c r="B195" t="str" s="16">
        <x:f aca="0">Daily!D45</x:f>
        <x:v>Handstand movement and strength</x:v>
      </x:c>
      <x:c r="C195" t="str" s="15">
        <x:v>Bar row</x:v>
      </x:c>
      <x:c r="D195" t="str" s="15">
        <x:v>reps</x:v>
      </x:c>
      <x:c r="E195" t="n" s="15">
        <x:v>4</x:v>
      </x:c>
      <x:c r="F195" t="n" s="15">
        <x:v>12</x:v>
      </x:c>
      <x:c r="G195" t="n" s="15">
        <x:f aca="0">E195*F195</x:f>
        <x:v>48</x:v>
      </x:c>
      <x:c r="H195" t="str" s="15">
        <x:f aca="0">IF(AND(Daily!G45=TRUE,COUNT(Daily!AF45,Daily!AG45,Daily!AH45,Daily!AI45)&gt;0),SUM(Daily!AF45,Daily!AG45,Daily!AH45,Daily!AI45),"")</x:f>
      </x:c>
      <x:c r="I195" t="str" s="58">
        <x:f aca="0">IF(AND(ISNUMBER(H195),G195&gt;0),100*H195/G195,"")</x:f>
      </x:c>
      <x:c r="J195" t="n" s="58">
        <x:f aca="0">IF(COUNTIF(Library!$B$3:$B$58,C195)&lt;&gt;1,"",INDEX(Library!$D$3:$D$58,MATCH(C195,Library!$B$3:$B$58,0)))</x:f>
        <x:v>4</x:v>
      </x:c>
      <x:c r="K195" t="n" s="59">
        <x:f aca="0">Daily!AK45</x:f>
        <x:v>0</x:v>
      </x:c>
      <x:c r="L195" t="n" s="60">
        <x:f aca="0">IF(COUNTIF(Library!$B$3:$B$58,C195)&lt;&gt;1,"",IF(COUNTIFS(Library!$B$3:$B$58,C195,Library!$E$3:$E$58,"&lt;&gt;")=0,0,INDEX(Library!$E$3:$E$58,MATCH(C195,Library!$B$3:$B$58,0))))</x:f>
        <x:v>0.04</x:v>
      </x:c>
      <x:c r="M195" t="n" s="58">
        <x:f aca="0">IF(COUNT(J195:L195)&lt;&gt;3,"",MIN(10,J195*(1+K195*L195)))</x:f>
        <x:v>4</x:v>
      </x:c>
      <x:c r="N195" s="58">
        <x:f>E195</x:f>
        <x:v>4</x:v>
      </x:c>
      <x:c r="O195" s="58">
        <x:f>IF(COUNT(M195:N195)&lt;&gt;2,"",M195*N195)</x:f>
        <x:v>16</x:v>
      </x:c>
      <x:c r="P195" s="58"/>
      <x:c r="Q195" s="58"/>
      <x:c r="R195" s="15"/>
      <x:c r="S195" s="15"/>
    </x:row>
    <x:row r="196" ht="24" hidden="0" customHeight="1">
      <x:c r="A196" t="n" s="79">
        <x:f aca="0">Daily!A46</x:f>
        <x:v>46402.5</x:v>
      </x:c>
      <x:c r="B196" t="str" s="16">
        <x:f aca="0">Daily!D46</x:f>
        <x:v>Muscle-up movement + Cal-Intervals</x:v>
      </x:c>
      <x:c r="C196" t="str" s="15">
        <x:v>Low-bar transition</x:v>
      </x:c>
      <x:c r="D196" t="str" s="15">
        <x:v>reps</x:v>
      </x:c>
      <x:c r="E196" t="n" s="15">
        <x:v>4</x:v>
      </x:c>
      <x:c r="F196" t="n" s="15">
        <x:v>3</x:v>
      </x:c>
      <x:c r="G196" t="n" s="15">
        <x:f aca="0">E196*F196</x:f>
        <x:v>12</x:v>
      </x:c>
      <x:c r="H196" t="str" s="15">
        <x:f aca="0">IF(AND(Daily!G46=TRUE,COUNT(Daily!H46,Daily!I46,Daily!J46,Daily!K46)&gt;0),SUM(Daily!H46,Daily!I46,Daily!J46,Daily!K46),"")</x:f>
      </x:c>
      <x:c r="I196" t="str" s="58">
        <x:f aca="0">IF(AND(ISNUMBER(H196),G196&gt;0),100*H196/G196,"")</x:f>
      </x:c>
      <x:c r="J196" t="n" s="58">
        <x:f aca="0">IF(COUNTIF(Library!$B$3:$B$58,C196)&lt;&gt;1,"",INDEX(Library!$D$3:$D$58,MATCH(C196,Library!$B$3:$B$58,0)))</x:f>
        <x:v>4</x:v>
      </x:c>
      <x:c r="K196" t="n" s="59">
        <x:f aca="0">Daily!M46</x:f>
        <x:v>0</x:v>
      </x:c>
      <x:c r="L196" t="n" s="60">
        <x:f aca="0">IF(COUNTIF(Library!$B$3:$B$58,C196)&lt;&gt;1,"",IF(COUNTIFS(Library!$B$3:$B$58,C196,Library!$E$3:$E$58,"&lt;&gt;")=0,0,INDEX(Library!$E$3:$E$58,MATCH(C196,Library!$B$3:$B$58,0))))</x:f>
        <x:v>0</x:v>
      </x:c>
      <x:c r="M196" t="n" s="58">
        <x:f aca="0">IF(COUNT(J196:L196)&lt;&gt;3,"",MIN(10,J196*(1+K196*L196)))</x:f>
        <x:v>4</x:v>
      </x:c>
      <x:c r="N196" s="58">
        <x:f>E196</x:f>
        <x:v>4</x:v>
      </x:c>
      <x:c r="O196" s="58">
        <x:f>IF(COUNT(M196:N196)&lt;&gt;2,"",M196*N196)</x:f>
        <x:v>16</x:v>
      </x:c>
      <x:c r="P196" s="58">
        <x:f>IF(COUNT(O196:O200)&lt;&gt;COUNT(N196:N200),"",ROUND(SUM(O196:O200)/SUM(N196:N200),1))</x:f>
        <x:v>4.4</x:v>
      </x:c>
      <x:c r="Q196" t="str" s="58">
        <x:f>IF(COUNT(I196:I200)=0,"",MEDIAN(I196:I200))</x:f>
      </x:c>
      <x:c r="R196" t="n" s="15">
        <x:f>COUNT(I196:I200)</x:f>
        <x:v>0</x:v>
      </x:c>
      <x:c r="S196" t="n" s="15">
        <x:v>5</x:v>
      </x:c>
    </x:row>
    <x:row r="197" ht="24" hidden="0" customHeight="1">
      <x:c r="A197" t="n" s="79">
        <x:f aca="0">Daily!A46</x:f>
        <x:v>46402.5</x:v>
      </x:c>
      <x:c r="B197" t="str" s="16">
        <x:f aca="0">Daily!D46</x:f>
        <x:v>Muscle-up movement + Cal-Intervals</x:v>
      </x:c>
      <x:c r="C197" t="str" s="15">
        <x:v>Handstand walk</x:v>
      </x:c>
      <x:c r="D197" t="str" s="15">
        <x:v>m</x:v>
      </x:c>
      <x:c r="E197" t="n" s="15">
        <x:v>4</x:v>
      </x:c>
      <x:c r="F197" t="n" s="15">
        <x:v>3</x:v>
      </x:c>
      <x:c r="G197" t="n" s="15">
        <x:f aca="0">E197*F197</x:f>
        <x:v>12</x:v>
      </x:c>
      <x:c r="H197" t="str" s="15">
        <x:f aca="0">IF(AND(Daily!G46=TRUE,COUNT(Daily!N46,Daily!O46,Daily!P46,Daily!Q46)&gt;0),SUM(Daily!N46,Daily!O46,Daily!P46,Daily!Q46),"")</x:f>
      </x:c>
      <x:c r="I197" t="str" s="58">
        <x:f aca="0">IF(AND(ISNUMBER(H197),G197&gt;0),100*H197/G197,"")</x:f>
      </x:c>
      <x:c r="J197" t="n" s="58">
        <x:f aca="0">IF(COUNTIF(Library!$B$3:$B$58,C197)&lt;&gt;1,"",INDEX(Library!$D$3:$D$58,MATCH(C197,Library!$B$3:$B$58,0)))</x:f>
        <x:v>3</x:v>
      </x:c>
      <x:c r="K197" t="n" s="59">
        <x:f aca="0">Daily!S46</x:f>
        <x:v>0</x:v>
      </x:c>
      <x:c r="L197" t="n" s="60">
        <x:f aca="0">IF(COUNTIF(Library!$B$3:$B$58,C197)&lt;&gt;1,"",IF(COUNTIFS(Library!$B$3:$B$58,C197,Library!$E$3:$E$58,"&lt;&gt;")=0,0,INDEX(Library!$E$3:$E$58,MATCH(C197,Library!$B$3:$B$58,0))))</x:f>
        <x:v>0</x:v>
      </x:c>
      <x:c r="M197" t="n" s="58">
        <x:f aca="0">IF(COUNT(J197:L197)&lt;&gt;3,"",MIN(10,J197*(1+K197*L197)))</x:f>
        <x:v>3</x:v>
      </x:c>
      <x:c r="N197" s="58">
        <x:f>E197</x:f>
        <x:v>4</x:v>
      </x:c>
      <x:c r="O197" s="58">
        <x:f>IF(COUNT(M197:N197)&lt;&gt;2,"",M197*N197)</x:f>
        <x:v>12</x:v>
      </x:c>
      <x:c r="P197" s="58"/>
      <x:c r="Q197" s="58"/>
      <x:c r="R197" s="15"/>
      <x:c r="S197" s="15"/>
    </x:row>
    <x:row r="198" ht="24" hidden="0" customHeight="1">
      <x:c r="A198" t="n" s="79">
        <x:f aca="0">Daily!A46</x:f>
        <x:v>46402.5</x:v>
      </x:c>
      <x:c r="B198" t="str" s="16">
        <x:f aca="0">Daily!D46</x:f>
        <x:v>Muscle-up movement + Cal-Intervals</x:v>
      </x:c>
      <x:c r="C198" t="str" s="15">
        <x:v>Straight-bar dip</x:v>
      </x:c>
      <x:c r="D198" t="str" s="15">
        <x:v>reps</x:v>
      </x:c>
      <x:c r="E198" t="n" s="15">
        <x:v>4</x:v>
      </x:c>
      <x:c r="F198" t="n" s="15">
        <x:v>8</x:v>
      </x:c>
      <x:c r="G198" t="n" s="15">
        <x:f aca="0">E198*F198</x:f>
        <x:v>32</x:v>
      </x:c>
      <x:c r="H198" t="str" s="15">
        <x:f aca="0">IF(AND(Daily!G46=TRUE,COUNT(Daily!T46,Daily!U46,Daily!V46,Daily!W46)&gt;0),SUM(Daily!T46,Daily!U46,Daily!V46,Daily!W46),"")</x:f>
      </x:c>
      <x:c r="I198" t="str" s="58">
        <x:f aca="0">IF(AND(ISNUMBER(H198),G198&gt;0),100*H198/G198,"")</x:f>
      </x:c>
      <x:c r="J198" t="n" s="58">
        <x:f aca="0">IF(COUNTIF(Library!$B$3:$B$58,C198)&lt;&gt;1,"",INDEX(Library!$D$3:$D$58,MATCH(C198,Library!$B$3:$B$58,0)))</x:f>
        <x:v>4</x:v>
      </x:c>
      <x:c r="K198" t="n" s="59">
        <x:f aca="0">Daily!Y46</x:f>
        <x:v>0</x:v>
      </x:c>
      <x:c r="L198" t="n" s="60">
        <x:f aca="0">IF(COUNTIF(Library!$B$3:$B$58,C198)&lt;&gt;1,"",IF(COUNTIFS(Library!$B$3:$B$58,C198,Library!$E$3:$E$58,"&lt;&gt;")=0,0,INDEX(Library!$E$3:$E$58,MATCH(C198,Library!$B$3:$B$58,0))))</x:f>
        <x:v>0.02</x:v>
      </x:c>
      <x:c r="M198" t="n" s="58">
        <x:f aca="0">IF(COUNT(J198:L198)&lt;&gt;3,"",MIN(10,J198*(1+K198*L198)))</x:f>
        <x:v>4</x:v>
      </x:c>
      <x:c r="N198" s="58">
        <x:f>E198</x:f>
        <x:v>4</x:v>
      </x:c>
      <x:c r="O198" s="58">
        <x:f>IF(COUNT(M198:N198)&lt;&gt;2,"",M198*N198)</x:f>
        <x:v>16</x:v>
      </x:c>
      <x:c r="P198" s="58"/>
      <x:c r="Q198" s="58"/>
      <x:c r="R198" s="15"/>
      <x:c r="S198" s="15"/>
    </x:row>
    <x:row r="199" ht="24" hidden="0" customHeight="1">
      <x:c r="A199" t="n" s="79">
        <x:f aca="0">Daily!A46</x:f>
        <x:v>46402.5</x:v>
      </x:c>
      <x:c r="B199" t="str" s="16">
        <x:f aca="0">Daily!D46</x:f>
        <x:v>Muscle-up movement + Cal-Intervals</x:v>
      </x:c>
      <x:c r="C199" t="str" s="15">
        <x:v>Elevated pike push-up</x:v>
      </x:c>
      <x:c r="D199" t="str" s="15">
        <x:v>reps</x:v>
      </x:c>
      <x:c r="E199" t="n" s="15">
        <x:v>4</x:v>
      </x:c>
      <x:c r="F199" t="n" s="15">
        <x:v>8</x:v>
      </x:c>
      <x:c r="G199" t="n" s="15">
        <x:f aca="0">E199*F199</x:f>
        <x:v>32</x:v>
      </x:c>
      <x:c r="H199" t="str" s="15">
        <x:f aca="0">IF(AND(Daily!G46=TRUE,COUNT(Daily!Z46,Daily!AA46,Daily!AB46,Daily!AC46)&gt;0),SUM(Daily!Z46,Daily!AA46,Daily!AB46,Daily!AC46),"")</x:f>
      </x:c>
      <x:c r="I199" t="str" s="58">
        <x:f aca="0">IF(AND(ISNUMBER(H199),G199&gt;0),100*H199/G199,"")</x:f>
      </x:c>
      <x:c r="J199" t="n" s="58">
        <x:f aca="0">IF(COUNTIF(Library!$B$3:$B$58,C199)&lt;&gt;1,"",INDEX(Library!$D$3:$D$58,MATCH(C199,Library!$B$3:$B$58,0)))</x:f>
        <x:v>4</x:v>
      </x:c>
      <x:c r="K199" t="n" s="59">
        <x:f aca="0">Daily!AE46</x:f>
        <x:v>0</x:v>
      </x:c>
      <x:c r="L199" t="n" s="60">
        <x:f aca="0">IF(COUNTIF(Library!$B$3:$B$58,C199)&lt;&gt;1,"",IF(COUNTIFS(Library!$B$3:$B$58,C199,Library!$E$3:$E$58,"&lt;&gt;")=0,0,INDEX(Library!$E$3:$E$58,MATCH(C199,Library!$B$3:$B$58,0))))</x:f>
        <x:v>0</x:v>
      </x:c>
      <x:c r="M199" t="n" s="58">
        <x:f aca="0">IF(COUNT(J199:L199)&lt;&gt;3,"",MIN(10,J199*(1+K199*L199)))</x:f>
        <x:v>4</x:v>
      </x:c>
      <x:c r="N199" s="58">
        <x:f>E199</x:f>
        <x:v>4</x:v>
      </x:c>
      <x:c r="O199" s="58">
        <x:f>IF(COUNT(M199:N199)&lt;&gt;2,"",M199*N199)</x:f>
        <x:v>16</x:v>
      </x:c>
      <x:c r="P199" s="58"/>
      <x:c r="Q199" s="58"/>
      <x:c r="R199" s="15"/>
      <x:c r="S199" s="15"/>
    </x:row>
    <x:row r="200" ht="24" hidden="0" customHeight="1">
      <x:c r="A200" t="n" s="79">
        <x:f aca="0">Daily!A46</x:f>
        <x:v>46402.5</x:v>
      </x:c>
      <x:c r="B200" t="str" s="16">
        <x:f aca="0">Daily!D46</x:f>
        <x:v>Muscle-up movement + Cal-Intervals</x:v>
      </x:c>
      <x:c r="C200" t="str" s="15">
        <x:v>Cal-Intervals</x:v>
      </x:c>
      <x:c r="D200" t="str" s="15">
        <x:v>rounds</x:v>
      </x:c>
      <x:c r="E200" t="n" s="15">
        <x:v>1</x:v>
      </x:c>
      <x:c r="F200" t="n" s="15">
        <x:v>5</x:v>
      </x:c>
      <x:c r="G200" t="n" s="15">
        <x:v>5</x:v>
      </x:c>
      <x:c r="H200" t="str" s="15">
        <x:f aca="0">IF(AND(Daily!G46=TRUE,ISNUMBER(Daily!AL46),Daily!AL46&gt;0),Daily!AL46,"")</x:f>
      </x:c>
      <x:c r="I200" t="str" s="58">
        <x:f aca="0">IF(ISNUMBER(H200),100*H200/G200,"")</x:f>
      </x:c>
      <x:c r="J200" t="n" s="58">
        <x:f aca="0">SUM(Library!F67:F70)/SUM(Library!E67:E70)</x:f>
        <x:v>5</x:v>
      </x:c>
      <x:c r="K200" s="59"/>
      <x:c r="L200" s="60"/>
      <x:c r="M200" t="n" s="58">
        <x:f aca="0">J200</x:f>
        <x:v>5</x:v>
      </x:c>
      <x:c r="N200" s="58">
        <x:f>G200*COUNT(Library!B67:B70)</x:f>
        <x:v>20</x:v>
      </x:c>
      <x:c r="O200" s="58">
        <x:f>IF(COUNT(M200:N200)&lt;&gt;2,"",M200*N200)</x:f>
        <x:v>100</x:v>
      </x:c>
      <x:c r="P200" s="58"/>
      <x:c r="Q200" s="58"/>
      <x:c r="R200" s="15"/>
      <x:c r="S200" s="15"/>
    </x:row>
    <x:row r="201" ht="24" hidden="0" customHeight="1">
      <x:c r="A201" t="n" s="79">
        <x:f aca="0">Daily!A47</x:f>
        <x:v>46405.5</x:v>
      </x:c>
      <x:c r="B201" t="str" s="16">
        <x:f aca="0">Daily!D47</x:f>
        <x:v>Pull and muscle-up strength</x:v>
      </x:c>
      <x:c r="C201" t="str" s="15">
        <x:v>Muscle-up test</x:v>
      </x:c>
      <x:c r="D201" t="str" s="15">
        <x:v>reps</x:v>
      </x:c>
      <x:c r="E201" t="n" s="15">
        <x:v>3</x:v>
      </x:c>
      <x:c r="F201" t="n" s="15">
        <x:v>1</x:v>
      </x:c>
      <x:c r="G201" t="n" s="15">
        <x:f aca="0">E201*F201</x:f>
        <x:v>3</x:v>
      </x:c>
      <x:c r="H201" t="str" s="15">
        <x:f aca="0">IF(AND(Daily!G47=TRUE,COUNT(Daily!H47,Daily!I47,Daily!J47)&gt;0),SUM(Daily!H47,Daily!I47,Daily!J47),"")</x:f>
      </x:c>
      <x:c r="I201" t="str" s="58">
        <x:f aca="0">IF(AND(ISNUMBER(H201),G201&gt;0),100*H201/G201,"")</x:f>
      </x:c>
      <x:c r="J201" t="n" s="58">
        <x:f aca="0">IF(COUNTIF(Library!$B$3:$B$58,C201)&lt;&gt;1,"",INDEX(Library!$D$3:$D$58,MATCH(C201,Library!$B$3:$B$58,0)))</x:f>
        <x:v>8</x:v>
      </x:c>
      <x:c r="K201" t="n" s="59">
        <x:f aca="0">Daily!M47</x:f>
        <x:v>0</x:v>
      </x:c>
      <x:c r="L201" t="n" s="60">
        <x:f aca="0">IF(COUNTIF(Library!$B$3:$B$58,C201)&lt;&gt;1,"",IF(COUNTIFS(Library!$B$3:$B$58,C201,Library!$E$3:$E$58,"&lt;&gt;")=0,0,INDEX(Library!$E$3:$E$58,MATCH(C201,Library!$B$3:$B$58,0))))</x:f>
        <x:v>0.04</x:v>
      </x:c>
      <x:c r="M201" t="n" s="58">
        <x:f aca="0">IF(COUNT(J201:L201)&lt;&gt;3,"",MIN(10,J201*(1+K201*L201)))</x:f>
        <x:v>8</x:v>
      </x:c>
      <x:c r="N201" s="58">
        <x:f>E201</x:f>
        <x:v>3</x:v>
      </x:c>
      <x:c r="O201" s="58">
        <x:f>IF(COUNT(M201:N201)&lt;&gt;2,"",M201*N201)</x:f>
        <x:v>24</x:v>
      </x:c>
      <x:c r="P201" s="58">
        <x:f>IF(COUNT(O201:O205)&lt;&gt;COUNT(N201:N205),"",ROUND(SUM(O201:O205)/SUM(N201:N205),1))</x:f>
        <x:v>6.2</x:v>
      </x:c>
      <x:c r="Q201" t="str" s="58">
        <x:f>IF(COUNT(I201:I205)=0,"",MEDIAN(I201:I205))</x:f>
      </x:c>
      <x:c r="R201" t="n" s="15">
        <x:f>COUNT(I201:I205)</x:f>
        <x:v>0</x:v>
      </x:c>
      <x:c r="S201" t="n" s="15">
        <x:v>5</x:v>
      </x:c>
    </x:row>
    <x:row r="202" ht="24" hidden="0" customHeight="1">
      <x:c r="A202" t="n" s="79">
        <x:f aca="0">Daily!A47</x:f>
        <x:v>46405.5</x:v>
      </x:c>
      <x:c r="B202" t="str" s="16">
        <x:f aca="0">Daily!D47</x:f>
        <x:v>Pull and muscle-up strength</x:v>
      </x:c>
      <x:c r="C202" t="str" s="15">
        <x:v>Pull-up</x:v>
      </x:c>
      <x:c r="D202" t="str" s="15">
        <x:v>reps</x:v>
      </x:c>
      <x:c r="E202" t="n" s="15">
        <x:v>2</x:v>
      </x:c>
      <x:c r="F202" t="n" s="15">
        <x:v>6</x:v>
      </x:c>
      <x:c r="G202" t="n" s="15">
        <x:f aca="0">E202*F202</x:f>
        <x:v>12</x:v>
      </x:c>
      <x:c r="H202" t="str" s="15">
        <x:f aca="0">IF(AND(Daily!G47=TRUE,COUNT(Daily!N47,Daily!O47)&gt;0),SUM(Daily!N47,Daily!O47),"")</x:f>
      </x:c>
      <x:c r="I202" t="str" s="58">
        <x:f aca="0">IF(AND(ISNUMBER(H202),G202&gt;0),100*H202/G202,"")</x:f>
      </x:c>
      <x:c r="J202" t="n" s="58">
        <x:f aca="0">IF(COUNTIF(Library!$B$3:$B$58,C202)&lt;&gt;1,"",INDEX(Library!$D$3:$D$58,MATCH(C202,Library!$B$3:$B$58,0)))</x:f>
        <x:v>6</x:v>
      </x:c>
      <x:c r="K202" t="n" s="59">
        <x:f aca="0">Daily!S47</x:f>
        <x:v>0</x:v>
      </x:c>
      <x:c r="L202" t="n" s="60">
        <x:f aca="0">IF(COUNTIF(Library!$B$3:$B$58,C202)&lt;&gt;1,"",IF(COUNTIFS(Library!$B$3:$B$58,C202,Library!$E$3:$E$58,"&lt;&gt;")=0,0,INDEX(Library!$E$3:$E$58,MATCH(C202,Library!$B$3:$B$58,0))))</x:f>
        <x:v>0.04</x:v>
      </x:c>
      <x:c r="M202" t="n" s="58">
        <x:f aca="0">IF(COUNT(J202:L202)&lt;&gt;3,"",MIN(10,J202*(1+K202*L202)))</x:f>
        <x:v>6</x:v>
      </x:c>
      <x:c r="N202" s="58">
        <x:f>E202</x:f>
        <x:v>2</x:v>
      </x:c>
      <x:c r="O202" s="58">
        <x:f>IF(COUNT(M202:N202)&lt;&gt;2,"",M202*N202)</x:f>
        <x:v>12</x:v>
      </x:c>
      <x:c r="P202" s="58"/>
      <x:c r="Q202" s="58"/>
      <x:c r="R202" s="15"/>
      <x:c r="S202" s="15"/>
    </x:row>
    <x:row r="203" ht="24" hidden="0" customHeight="1">
      <x:c r="A203" t="n" s="79">
        <x:f aca="0">Daily!A47</x:f>
        <x:v>46405.5</x:v>
      </x:c>
      <x:c r="B203" t="str" s="16">
        <x:f aca="0">Daily!D47</x:f>
        <x:v>Pull and muscle-up strength</x:v>
      </x:c>
      <x:c r="C203" t="str" s="15">
        <x:v>Parallel-bar dip</x:v>
      </x:c>
      <x:c r="D203" t="str" s="15">
        <x:v>reps</x:v>
      </x:c>
      <x:c r="E203" t="n" s="15">
        <x:v>2</x:v>
      </x:c>
      <x:c r="F203" t="n" s="15">
        <x:v>12</x:v>
      </x:c>
      <x:c r="G203" t="n" s="15">
        <x:f aca="0">E203*F203</x:f>
        <x:v>24</x:v>
      </x:c>
      <x:c r="H203" t="str" s="15">
        <x:f aca="0">IF(AND(Daily!G47=TRUE,COUNT(Daily!T47,Daily!U47)&gt;0),SUM(Daily!T47,Daily!U47),"")</x:f>
      </x:c>
      <x:c r="I203" t="str" s="58">
        <x:f aca="0">IF(AND(ISNUMBER(H203),G203&gt;0),100*H203/G203,"")</x:f>
      </x:c>
      <x:c r="J203" t="n" s="58">
        <x:f aca="0">IF(COUNTIF(Library!$B$3:$B$58,C203)&lt;&gt;1,"",INDEX(Library!$D$3:$D$58,MATCH(C203,Library!$B$3:$B$58,0)))</x:f>
        <x:v>4</x:v>
      </x:c>
      <x:c r="K203" t="n" s="59">
        <x:f aca="0">Daily!Y47</x:f>
        <x:v>0</x:v>
      </x:c>
      <x:c r="L203" t="n" s="60">
        <x:f aca="0">IF(COUNTIF(Library!$B$3:$B$58,C203)&lt;&gt;1,"",IF(COUNTIFS(Library!$B$3:$B$58,C203,Library!$E$3:$E$58,"&lt;&gt;")=0,0,INDEX(Library!$E$3:$E$58,MATCH(C203,Library!$B$3:$B$58,0))))</x:f>
        <x:v>0.02</x:v>
      </x:c>
      <x:c r="M203" t="n" s="58">
        <x:f aca="0">IF(COUNT(J203:L203)&lt;&gt;3,"",MIN(10,J203*(1+K203*L203)))</x:f>
        <x:v>4</x:v>
      </x:c>
      <x:c r="N203" s="58">
        <x:f>E203</x:f>
        <x:v>2</x:v>
      </x:c>
      <x:c r="O203" s="58">
        <x:f>IF(COUNT(M203:N203)&lt;&gt;2,"",M203*N203)</x:f>
        <x:v>8</x:v>
      </x:c>
      <x:c r="P203" s="58"/>
      <x:c r="Q203" s="58"/>
      <x:c r="R203" s="15"/>
      <x:c r="S203" s="15"/>
    </x:row>
    <x:row r="204" ht="24" hidden="0" customHeight="1">
      <x:c r="A204" t="n" s="79">
        <x:f aca="0">Daily!A47</x:f>
        <x:v>46405.5</x:v>
      </x:c>
      <x:c r="B204" t="str" s="16">
        <x:f aca="0">Daily!D47</x:f>
        <x:v>Pull and muscle-up strength</x:v>
      </x:c>
      <x:c r="C204" t="str" s="15">
        <x:v>Pistol test</x:v>
      </x:c>
      <x:c r="D204" t="str" s="15">
        <x:v>reps/leg</x:v>
      </x:c>
      <x:c r="E204" t="n" s="15">
        <x:v>1</x:v>
      </x:c>
      <x:c r="F204" t="n" s="15">
        <x:v>5</x:v>
      </x:c>
      <x:c r="G204" t="n" s="15">
        <x:f aca="0">E204*F204</x:f>
        <x:v>5</x:v>
      </x:c>
      <x:c r="H204" t="str" s="15">
        <x:f aca="0">IF(AND(Daily!G47=TRUE,COUNT(Daily!Z47)&gt;0),SUM(Daily!Z47),"")</x:f>
      </x:c>
      <x:c r="I204" t="str" s="58">
        <x:f aca="0">IF(AND(ISNUMBER(H204),G204&gt;0),100*H204/G204,"")</x:f>
      </x:c>
      <x:c r="J204" t="n" s="58">
        <x:f aca="0">IF(COUNTIF(Library!$B$3:$B$58,C204)&lt;&gt;1,"",INDEX(Library!$D$3:$D$58,MATCH(C204,Library!$B$3:$B$58,0)))</x:f>
        <x:v>8</x:v>
      </x:c>
      <x:c r="K204" t="n" s="59">
        <x:f aca="0">Daily!AE47</x:f>
        <x:v>0</x:v>
      </x:c>
      <x:c r="L204" t="n" s="60">
        <x:f aca="0">IF(COUNTIF(Library!$B$3:$B$58,C204)&lt;&gt;1,"",IF(COUNTIFS(Library!$B$3:$B$58,C204,Library!$E$3:$E$58,"&lt;&gt;")=0,0,INDEX(Library!$E$3:$E$58,MATCH(C204,Library!$B$3:$B$58,0))))</x:f>
        <x:v>0.03</x:v>
      </x:c>
      <x:c r="M204" t="n" s="58">
        <x:f aca="0">IF(COUNT(J204:L204)&lt;&gt;3,"",MIN(10,J204*(1+K204*L204)))</x:f>
        <x:v>8</x:v>
      </x:c>
      <x:c r="N204" s="58">
        <x:f>E204</x:f>
        <x:v>1</x:v>
      </x:c>
      <x:c r="O204" s="58">
        <x:f>IF(COUNT(M204:N204)&lt;&gt;2,"",M204*N204)</x:f>
        <x:v>8</x:v>
      </x:c>
      <x:c r="P204" s="58"/>
      <x:c r="Q204" s="58"/>
      <x:c r="R204" s="15"/>
      <x:c r="S204" s="15"/>
    </x:row>
    <x:row r="205" ht="24" hidden="0" customHeight="1">
      <x:c r="A205" t="n" s="79">
        <x:f aca="0">Daily!A47</x:f>
        <x:v>46405.5</x:v>
      </x:c>
      <x:c r="B205" t="str" s="16">
        <x:f aca="0">Daily!D47</x:f>
        <x:v>Pull and muscle-up strength</x:v>
      </x:c>
      <x:c r="C205" t="str" s="15">
        <x:v>Sliding hamstring curl</x:v>
      </x:c>
      <x:c r="D205" t="str" s="15">
        <x:v>reps</x:v>
      </x:c>
      <x:c r="E205" t="n" s="15">
        <x:v>1</x:v>
      </x:c>
      <x:c r="F205" t="n" s="15">
        <x:v>10</x:v>
      </x:c>
      <x:c r="G205" t="n" s="15">
        <x:f aca="0">E205*F205</x:f>
        <x:v>10</x:v>
      </x:c>
      <x:c r="H205" t="str" s="15">
        <x:f aca="0">IF(AND(Daily!G47=TRUE,COUNT(Daily!AF47)&gt;0),SUM(Daily!AF47),"")</x:f>
      </x:c>
      <x:c r="I205" t="str" s="58">
        <x:f aca="0">IF(AND(ISNUMBER(H205),G205&gt;0),100*H205/G205,"")</x:f>
      </x:c>
      <x:c r="J205" t="n" s="58">
        <x:f aca="0">IF(COUNTIF(Library!$B$3:$B$58,C205)&lt;&gt;1,"",INDEX(Library!$D$3:$D$58,MATCH(C205,Library!$B$3:$B$58,0)))</x:f>
        <x:v>4</x:v>
      </x:c>
      <x:c r="K205" t="n" s="59">
        <x:f aca="0">Daily!AK47</x:f>
        <x:v>0</x:v>
      </x:c>
      <x:c r="L205" t="n" s="60">
        <x:f aca="0">IF(COUNTIF(Library!$B$3:$B$58,C205)&lt;&gt;1,"",IF(COUNTIFS(Library!$B$3:$B$58,C205,Library!$E$3:$E$58,"&lt;&gt;")=0,0,INDEX(Library!$E$3:$E$58,MATCH(C205,Library!$B$3:$B$58,0))))</x:f>
        <x:v>0</x:v>
      </x:c>
      <x:c r="M205" t="n" s="58">
        <x:f aca="0">IF(COUNT(J205:L205)&lt;&gt;3,"",MIN(10,J205*(1+K205*L205)))</x:f>
        <x:v>4</x:v>
      </x:c>
      <x:c r="N205" s="58">
        <x:f>E205</x:f>
        <x:v>1</x:v>
      </x:c>
      <x:c r="O205" s="58">
        <x:f>IF(COUNT(M205:N205)&lt;&gt;2,"",M205*N205)</x:f>
        <x:v>4</x:v>
      </x:c>
      <x:c r="P205" s="58"/>
      <x:c r="Q205" s="58"/>
      <x:c r="R205" s="15"/>
      <x:c r="S205" s="15"/>
    </x:row>
    <x:row r="206" ht="24" hidden="0" customHeight="1">
      <x:c r="A206" t="n" s="79">
        <x:f aca="0">Daily!A48</x:f>
        <x:v>46406.5</x:v>
      </x:c>
      <x:c r="B206" t="str" s="16">
        <x:f aca="0">Daily!D48</x:f>
        <x:v>Optional movement practice</x:v>
      </x:c>
      <x:c r="C206" t="str" s="15">
        <x:v>Wrist/shoulder mobility</x:v>
      </x:c>
      <x:c r="D206" t="str" s="15">
        <x:v>seconds</x:v>
      </x:c>
      <x:c r="E206" t="n" s="15">
        <x:v>1</x:v>
      </x:c>
      <x:c r="F206" t="n" s="15">
        <x:v>120</x:v>
      </x:c>
      <x:c r="G206" t="n" s="15">
        <x:f>E206*F206</x:f>
        <x:v>120</x:v>
      </x:c>
      <x:c r="H206" t="str" s="15">
        <x:f aca="0">IF(AND(Daily!G48=TRUE,COUNT(Daily!H48)&gt;0),SUM(Daily!H48)*86400,"")</x:f>
      </x:c>
      <x:c r="I206" t="str" s="58">
        <x:f aca="0">IF(AND(ISNUMBER(H206),G206&gt;0),100*H206/G206,"")</x:f>
      </x:c>
      <x:c r="J206" t="n" s="58">
        <x:f aca="0">IF(COUNTIF(Library!$B$3:$B$58,C206)&lt;&gt;1,"",INDEX(Library!$D$3:$D$58,MATCH(C206,Library!$B$3:$B$58,0)))</x:f>
        <x:v>1</x:v>
      </x:c>
      <x:c r="K206" t="n" s="59">
        <x:f>Daily!M48</x:f>
        <x:v>0</x:v>
      </x:c>
      <x:c r="L206" t="n" s="60">
        <x:f>IF(COUNTIF(Library!$B$3:$B$58,C206)&lt;&gt;1,"",IF(COUNTIFS(Library!$B$3:$B$58,C206,Library!$E$3:$E$58,"&lt;&gt;")=0,0,INDEX(Library!$E$3:$E$58,MATCH(C206,Library!$B$3:$B$58,0))))</x:f>
        <x:v>0</x:v>
      </x:c>
      <x:c r="M206" t="n" s="58">
        <x:f aca="0">IF(COUNT(J206:L206)&lt;&gt;3,"",MIN(10,J206*(1+K206*L206)))</x:f>
        <x:v>1</x:v>
      </x:c>
      <x:c r="N206" s="58">
        <x:f>E206</x:f>
        <x:v>1</x:v>
      </x:c>
      <x:c r="O206" s="58">
        <x:f>IF(COUNT(M206:N206)&lt;&gt;2,"",M206*N206)</x:f>
        <x:v>1</x:v>
      </x:c>
      <x:c r="P206" s="58">
        <x:f>IF(COUNT(O206:O208)&lt;&gt;COUNT(N206:N208),"",ROUND(SUM(O206:O208)/SUM(N206:N208),1))</x:f>
        <x:v>1</x:v>
      </x:c>
      <x:c r="Q206" t="str" s="58">
        <x:f>IF(COUNT(I206:I208)=0,"",MEDIAN(I206:I208))</x:f>
      </x:c>
      <x:c r="R206" t="n" s="15">
        <x:f>COUNT(I206:I208)</x:f>
        <x:v>0</x:v>
      </x:c>
      <x:c r="S206" t="n" s="15">
        <x:v>3</x:v>
      </x:c>
    </x:row>
    <x:row r="207" ht="24" hidden="0" customHeight="1">
      <x:c r="A207" t="n" s="79">
        <x:f>Daily!A48</x:f>
        <x:v>46406.5</x:v>
      </x:c>
      <x:c r="B207" t="str" s="16">
        <x:f>Daily!D48</x:f>
        <x:v>Optional movement practice</x:v>
      </x:c>
      <x:c r="C207" t="str" s="15">
        <x:v>Easy handstand walk</x:v>
      </x:c>
      <x:c r="D207" t="str" s="15">
        <x:v>m</x:v>
      </x:c>
      <x:c r="E207" t="n" s="15">
        <x:v>3</x:v>
      </x:c>
      <x:c r="F207" t="n" s="15">
        <x:v>2</x:v>
      </x:c>
      <x:c r="G207" t="n" s="15">
        <x:f>E207*F207</x:f>
        <x:v>6</x:v>
      </x:c>
      <x:c r="H207" t="str" s="15">
        <x:f>IF(AND(Daily!G48=TRUE,COUNT(Daily!N48,Daily!O48,Daily!P48)&gt;0),SUM(Daily!N48,Daily!O48,Daily!P48),"")</x:f>
      </x:c>
      <x:c r="I207" t="str" s="58">
        <x:f>IF(AND(ISNUMBER(H207),G207&gt;0),100*H207/G207,"")</x:f>
      </x:c>
      <x:c r="J207" t="n" s="58">
        <x:f>IF(COUNTIF(Library!$B$3:$B$58,C207)&lt;&gt;1,"",INDEX(Library!$D$3:$D$58,MATCH(C207,Library!$B$3:$B$58,0)))</x:f>
        <x:v>1</x:v>
      </x:c>
      <x:c r="K207" t="n" s="59">
        <x:f>Daily!S48</x:f>
        <x:v>0</x:v>
      </x:c>
      <x:c r="L207" t="n" s="60">
        <x:f>IF(COUNTIF(Library!$B$3:$B$58,C207)&lt;&gt;1,"",IF(COUNTIFS(Library!$B$3:$B$58,C207,Library!$E$3:$E$58,"&lt;&gt;")=0,0,INDEX(Library!$E$3:$E$58,MATCH(C207,Library!$B$3:$B$58,0))))</x:f>
        <x:v>0</x:v>
      </x:c>
      <x:c r="M207" t="n" s="58">
        <x:f>IF(COUNT(J207:L207)&lt;&gt;3,"",MIN(10,J207*(1+K207*L207)))</x:f>
        <x:v>1</x:v>
      </x:c>
      <x:c r="N207" s="58">
        <x:f>E207</x:f>
        <x:v>3</x:v>
      </x:c>
      <x:c r="O207" s="58">
        <x:f>IF(COUNT(M207:N207)&lt;&gt;2,"",M207*N207)</x:f>
        <x:v>3</x:v>
      </x:c>
      <x:c r="P207" s="58"/>
      <x:c r="Q207" s="58"/>
      <x:c r="R207" s="15"/>
      <x:c r="S207" s="15"/>
    </x:row>
    <x:row r="208" ht="24" hidden="0" customHeight="1">
      <x:c r="A208" t="n" s="79">
        <x:f>Daily!A48</x:f>
        <x:v>46406.5</x:v>
      </x:c>
      <x:c r="B208" t="str" s="16">
        <x:f>Daily!D48</x:f>
        <x:v>Optional movement practice</x:v>
      </x:c>
      <x:c r="C208" t="str" s="15">
        <x:v>Easy bear crawl</x:v>
      </x:c>
      <x:c r="D208" t="str" s="15">
        <x:v>seconds</x:v>
      </x:c>
      <x:c r="E208" t="n" s="15">
        <x:v>3</x:v>
      </x:c>
      <x:c r="F208" t="n" s="15">
        <x:v>20</x:v>
      </x:c>
      <x:c r="G208" t="n" s="15">
        <x:f>E208*F208</x:f>
        <x:v>60</x:v>
      </x:c>
      <x:c r="H208" t="str" s="15">
        <x:f>IF(AND(Daily!G48=TRUE,COUNT(Daily!T48,Daily!U48,Daily!V48)&gt;0),SUM(Daily!T48,Daily!U48,Daily!V48)*86400,"")</x:f>
      </x:c>
      <x:c r="I208" t="str" s="58">
        <x:f>IF(AND(ISNUMBER(H208),G208&gt;0),100*H208/G208,"")</x:f>
      </x:c>
      <x:c r="J208" t="n" s="58">
        <x:f>IF(COUNTIF(Library!$B$3:$B$58,C208)&lt;&gt;1,"",INDEX(Library!$D$3:$D$58,MATCH(C208,Library!$B$3:$B$58,0)))</x:f>
        <x:v>1</x:v>
      </x:c>
      <x:c r="K208" t="n" s="59">
        <x:f>Daily!Y48</x:f>
        <x:v>0</x:v>
      </x:c>
      <x:c r="L208" t="n" s="60">
        <x:f>IF(COUNTIF(Library!$B$3:$B$58,C208)&lt;&gt;1,"",IF(COUNTIFS(Library!$B$3:$B$58,C208,Library!$E$3:$E$58,"&lt;&gt;")=0,0,INDEX(Library!$E$3:$E$58,MATCH(C208,Library!$B$3:$B$58,0))))</x:f>
        <x:v>0</x:v>
      </x:c>
      <x:c r="M208" t="n" s="58">
        <x:f>IF(COUNT(J208:L208)&lt;&gt;3,"",MIN(10,J208*(1+K208*L208)))</x:f>
        <x:v>1</x:v>
      </x:c>
      <x:c r="N208" s="58">
        <x:f>E208</x:f>
        <x:v>3</x:v>
      </x:c>
      <x:c r="O208" s="58">
        <x:f>IF(COUNT(M208:N208)&lt;&gt;2,"",M208*N208)</x:f>
        <x:v>3</x:v>
      </x:c>
      <x:c r="P208" s="58"/>
      <x:c r="Q208" s="58"/>
      <x:c r="R208" s="15"/>
      <x:c r="S208" s="15"/>
    </x:row>
    <x:row r="209" ht="24" hidden="0" customHeight="1">
      <x:c r="A209" t="n" s="79">
        <x:f>Daily!A49</x:f>
        <x:v>46407.5</x:v>
      </x:c>
      <x:c r="B209" t="str" s="16">
        <x:f>Daily!D49</x:f>
        <x:v>Handstand movement and strength</x:v>
      </x:c>
      <x:c r="C209" t="str" s="15">
        <x:v>Handstand walk test</x:v>
      </x:c>
      <x:c r="D209" t="str" s="15">
        <x:v>m</x:v>
      </x:c>
      <x:c r="E209" t="n" s="15">
        <x:v>3</x:v>
      </x:c>
      <x:c r="F209" t="n" s="15">
        <x:v>4</x:v>
      </x:c>
      <x:c r="G209" t="n" s="15">
        <x:f>E209*F209</x:f>
        <x:v>12</x:v>
      </x:c>
      <x:c r="H209" t="str" s="15">
        <x:f>IF(AND(Daily!G49=TRUE,COUNT(Daily!H49,Daily!I49,Daily!J49)&gt;0),SUM(Daily!H49,Daily!I49,Daily!J49),"")</x:f>
      </x:c>
      <x:c r="I209" t="str" s="58">
        <x:f>IF(AND(ISNUMBER(H209),G209&gt;0),100*H209/G209,"")</x:f>
      </x:c>
      <x:c r="J209" t="n" s="58">
        <x:f>IF(COUNTIF(Library!$B$3:$B$58,C209)&lt;&gt;1,"",INDEX(Library!$D$3:$D$58,MATCH(C209,Library!$B$3:$B$58,0)))</x:f>
        <x:v>3</x:v>
      </x:c>
      <x:c r="K209" t="n" s="59">
        <x:f>Daily!M49</x:f>
        <x:v>0</x:v>
      </x:c>
      <x:c r="L209" t="n" s="60">
        <x:f>IF(COUNTIF(Library!$B$3:$B$58,C209)&lt;&gt;1,"",IF(COUNTIFS(Library!$B$3:$B$58,C209,Library!$E$3:$E$58,"&lt;&gt;")=0,0,INDEX(Library!$E$3:$E$58,MATCH(C209,Library!$B$3:$B$58,0))))</x:f>
        <x:v>0</x:v>
      </x:c>
      <x:c r="M209" t="n" s="58">
        <x:f>IF(COUNT(J209:L209)&lt;&gt;3,"",MIN(10,J209*(1+K209*L209)))</x:f>
        <x:v>3</x:v>
      </x:c>
      <x:c r="N209" s="58">
        <x:f>E209</x:f>
        <x:v>3</x:v>
      </x:c>
      <x:c r="O209" s="58">
        <x:f>IF(COUNT(M209:N209)&lt;&gt;2,"",M209*N209)</x:f>
        <x:v>9</x:v>
      </x:c>
      <x:c r="P209" s="58">
        <x:f>IF(COUNT(O209:O213)&lt;&gt;COUNT(N209:N213),"",ROUND(SUM(O209:O213)/SUM(N209:N213),1))</x:f>
        <x:v>4.1</x:v>
      </x:c>
      <x:c r="Q209" t="str" s="58">
        <x:f>IF(COUNT(I209:I213)=0,"",MEDIAN(I209:I213))</x:f>
      </x:c>
      <x:c r="R209" t="n" s="15">
        <x:f>COUNT(I209:I213)</x:f>
        <x:v>0</x:v>
      </x:c>
      <x:c r="S209" t="n" s="15">
        <x:v>5</x:v>
      </x:c>
    </x:row>
    <x:row r="210" ht="24" hidden="0" customHeight="1">
      <x:c r="A210" t="n" s="79">
        <x:f>Daily!A49</x:f>
        <x:v>46407.5</x:v>
      </x:c>
      <x:c r="B210" t="str" s="16">
        <x:f>Daily!D49</x:f>
        <x:v>Handstand movement and strength</x:v>
      </x:c>
      <x:c r="C210" t="str" s="15">
        <x:v>Wall HSPU test</x:v>
      </x:c>
      <x:c r="D210" t="str" s="15">
        <x:v>reps</x:v>
      </x:c>
      <x:c r="E210" t="n" s="15">
        <x:v>1</x:v>
      </x:c>
      <x:c r="F210" t="n" s="15">
        <x:v>3</x:v>
      </x:c>
      <x:c r="G210" t="n" s="15">
        <x:f>E210*F210</x:f>
        <x:v>3</x:v>
      </x:c>
      <x:c r="H210" t="str" s="15">
        <x:f>IF(AND(Daily!G49=TRUE,COUNT(Daily!N49)&gt;0),SUM(Daily!N49),"")</x:f>
      </x:c>
      <x:c r="I210" t="str" s="58">
        <x:f>IF(AND(ISNUMBER(H210),G210&gt;0),100*H210/G210,"")</x:f>
      </x:c>
      <x:c r="J210" t="n" s="58">
        <x:f>IF(COUNTIF(Library!$B$3:$B$58,C210)&lt;&gt;1,"",INDEX(Library!$D$3:$D$58,MATCH(C210,Library!$B$3:$B$58,0)))</x:f>
        <x:v>8</x:v>
      </x:c>
      <x:c r="K210" t="n" s="59">
        <x:f>Daily!S49</x:f>
        <x:v>0</x:v>
      </x:c>
      <x:c r="L210" t="n" s="60">
        <x:f>IF(COUNTIF(Library!$B$3:$B$58,C210)&lt;&gt;1,"",IF(COUNTIFS(Library!$B$3:$B$58,C210,Library!$E$3:$E$58,"&lt;&gt;")=0,0,INDEX(Library!$E$3:$E$58,MATCH(C210,Library!$B$3:$B$58,0))))</x:f>
        <x:v>0</x:v>
      </x:c>
      <x:c r="M210" t="n" s="58">
        <x:f>IF(COUNT(J210:L210)&lt;&gt;3,"",MIN(10,J210*(1+K210*L210)))</x:f>
        <x:v>8</x:v>
      </x:c>
      <x:c r="N210" s="58">
        <x:f>E210</x:f>
        <x:v>1</x:v>
      </x:c>
      <x:c r="O210" s="58">
        <x:f>IF(COUNT(M210:N210)&lt;&gt;2,"",M210*N210)</x:f>
        <x:v>8</x:v>
      </x:c>
      <x:c r="P210" s="58"/>
      <x:c r="Q210" s="58"/>
      <x:c r="R210" s="15"/>
      <x:c r="S210" s="15"/>
    </x:row>
    <x:row r="211" ht="24" hidden="0" customHeight="1">
      <x:c r="A211" t="n" s="79">
        <x:f>Daily!A49</x:f>
        <x:v>46407.5</x:v>
      </x:c>
      <x:c r="B211" t="str" s="16">
        <x:f>Daily!D49</x:f>
        <x:v>Handstand movement and strength</x:v>
      </x:c>
      <x:c r="C211" t="str" s="15">
        <x:v>Pull-up</x:v>
      </x:c>
      <x:c r="D211" t="str" s="15">
        <x:v>reps</x:v>
      </x:c>
      <x:c r="E211" t="n" s="15">
        <x:v>1</x:v>
      </x:c>
      <x:c r="F211" t="n" s="15">
        <x:v>6</x:v>
      </x:c>
      <x:c r="G211" t="n" s="15">
        <x:f>E211*F211</x:f>
        <x:v>6</x:v>
      </x:c>
      <x:c r="H211" t="str" s="15">
        <x:f>IF(AND(Daily!G49=TRUE,COUNT(Daily!T49)&gt;0),SUM(Daily!T49),"")</x:f>
      </x:c>
      <x:c r="I211" t="str" s="58">
        <x:f>IF(AND(ISNUMBER(H211),G211&gt;0),100*H211/G211,"")</x:f>
      </x:c>
      <x:c r="J211" t="n" s="58">
        <x:f>IF(COUNTIF(Library!$B$3:$B$58,C211)&lt;&gt;1,"",INDEX(Library!$D$3:$D$58,MATCH(C211,Library!$B$3:$B$58,0)))</x:f>
        <x:v>6</x:v>
      </x:c>
      <x:c r="K211" t="n" s="59">
        <x:f>Daily!Y49</x:f>
        <x:v>0</x:v>
      </x:c>
      <x:c r="L211" t="n" s="60">
        <x:f>IF(COUNTIF(Library!$B$3:$B$58,C211)&lt;&gt;1,"",IF(COUNTIFS(Library!$B$3:$B$58,C211,Library!$E$3:$E$58,"&lt;&gt;")=0,0,INDEX(Library!$E$3:$E$58,MATCH(C211,Library!$B$3:$B$58,0))))</x:f>
        <x:v>0.04</x:v>
      </x:c>
      <x:c r="M211" t="n" s="58">
        <x:f>IF(COUNT(J211:L211)&lt;&gt;3,"",MIN(10,J211*(1+K211*L211)))</x:f>
        <x:v>6</x:v>
      </x:c>
      <x:c r="N211" s="58">
        <x:f>E211</x:f>
        <x:v>1</x:v>
      </x:c>
      <x:c r="O211" s="58">
        <x:f>IF(COUNT(M211:N211)&lt;&gt;2,"",M211*N211)</x:f>
        <x:v>6</x:v>
      </x:c>
      <x:c r="P211" s="58"/>
      <x:c r="Q211" s="58"/>
      <x:c r="R211" s="15"/>
      <x:c r="S211" s="15"/>
    </x:row>
    <x:row r="212" ht="24" hidden="0" customHeight="1">
      <x:c r="A212" t="n" s="79">
        <x:f>Daily!A49</x:f>
        <x:v>46407.5</x:v>
      </x:c>
      <x:c r="B212" t="str" s="16">
        <x:f>Daily!D49</x:f>
        <x:v>Handstand movement and strength</x:v>
      </x:c>
      <x:c r="C212" t="str" s="15">
        <x:v>Box pistol</x:v>
      </x:c>
      <x:c r="D212" t="str" s="15">
        <x:v>reps/leg</x:v>
      </x:c>
      <x:c r="E212" t="n" s="15">
        <x:v>1</x:v>
      </x:c>
      <x:c r="F212" t="n" s="15">
        <x:v>5</x:v>
      </x:c>
      <x:c r="G212" t="n" s="15">
        <x:f>E212*F212</x:f>
        <x:v>5</x:v>
      </x:c>
      <x:c r="H212" t="str" s="15">
        <x:f>IF(AND(Daily!G49=TRUE,COUNT(Daily!Z49)&gt;0),SUM(Daily!Z49),"")</x:f>
      </x:c>
      <x:c r="I212" t="str" s="58">
        <x:f>IF(AND(ISNUMBER(H212),G212&gt;0),100*H212/G212,"")</x:f>
      </x:c>
      <x:c r="J212" t="n" s="58">
        <x:f>IF(COUNTIF(Library!$B$3:$B$58,C212)&lt;&gt;1,"",INDEX(Library!$D$3:$D$58,MATCH(C212,Library!$B$3:$B$58,0)))</x:f>
        <x:v>2</x:v>
      </x:c>
      <x:c r="K212" t="n" s="59">
        <x:f>Daily!AE49</x:f>
        <x:v>0</x:v>
      </x:c>
      <x:c r="L212" t="n" s="60">
        <x:f>IF(COUNTIF(Library!$B$3:$B$58,C212)&lt;&gt;1,"",IF(COUNTIFS(Library!$B$3:$B$58,C212,Library!$E$3:$E$58,"&lt;&gt;")=0,0,INDEX(Library!$E$3:$E$58,MATCH(C212,Library!$B$3:$B$58,0))))</x:f>
        <x:v>0.03</x:v>
      </x:c>
      <x:c r="M212" t="n" s="58">
        <x:f>IF(COUNT(J212:L212)&lt;&gt;3,"",MIN(10,J212*(1+K212*L212)))</x:f>
        <x:v>2</x:v>
      </x:c>
      <x:c r="N212" s="58">
        <x:f>E212</x:f>
        <x:v>1</x:v>
      </x:c>
      <x:c r="O212" s="58">
        <x:f>IF(COUNT(M212:N212)&lt;&gt;2,"",M212*N212)</x:f>
        <x:v>2</x:v>
      </x:c>
      <x:c r="P212" s="58"/>
      <x:c r="Q212" s="58"/>
      <x:c r="R212" s="15"/>
      <x:c r="S212" s="15"/>
    </x:row>
    <x:row r="213" ht="24" hidden="0" customHeight="1">
      <x:c r="A213" t="n" s="79">
        <x:f>Daily!A49</x:f>
        <x:v>46407.5</x:v>
      </x:c>
      <x:c r="B213" t="str" s="16">
        <x:f>Daily!D49</x:f>
        <x:v>Handstand movement and strength</x:v>
      </x:c>
      <x:c r="C213" t="str" s="15">
        <x:v>Bar row</x:v>
      </x:c>
      <x:c r="D213" t="str" s="15">
        <x:v>reps</x:v>
      </x:c>
      <x:c r="E213" t="n" s="15">
        <x:v>1</x:v>
      </x:c>
      <x:c r="F213" t="n" s="15">
        <x:v>12</x:v>
      </x:c>
      <x:c r="G213" t="n" s="15">
        <x:f>E213*F213</x:f>
        <x:v>12</x:v>
      </x:c>
      <x:c r="H213" t="str" s="15">
        <x:f>IF(AND(Daily!G49=TRUE,COUNT(Daily!AF49)&gt;0),SUM(Daily!AF49),"")</x:f>
      </x:c>
      <x:c r="I213" t="str" s="58">
        <x:f>IF(AND(ISNUMBER(H213),G213&gt;0),100*H213/G213,"")</x:f>
      </x:c>
      <x:c r="J213" t="n" s="58">
        <x:f>IF(COUNTIF(Library!$B$3:$B$58,C213)&lt;&gt;1,"",INDEX(Library!$D$3:$D$58,MATCH(C213,Library!$B$3:$B$58,0)))</x:f>
        <x:v>4</x:v>
      </x:c>
      <x:c r="K213" t="n" s="59">
        <x:f>Daily!AK49</x:f>
        <x:v>0</x:v>
      </x:c>
      <x:c r="L213" t="n" s="60">
        <x:f>IF(COUNTIF(Library!$B$3:$B$58,C213)&lt;&gt;1,"",IF(COUNTIFS(Library!$B$3:$B$58,C213,Library!$E$3:$E$58,"&lt;&gt;")=0,0,INDEX(Library!$E$3:$E$58,MATCH(C213,Library!$B$3:$B$58,0))))</x:f>
        <x:v>0.04</x:v>
      </x:c>
      <x:c r="M213" t="n" s="58">
        <x:f>IF(COUNT(J213:L213)&lt;&gt;3,"",MIN(10,J213*(1+K213*L213)))</x:f>
        <x:v>4</x:v>
      </x:c>
      <x:c r="N213" s="58">
        <x:f>E213</x:f>
        <x:v>1</x:v>
      </x:c>
      <x:c r="O213" s="58">
        <x:f>IF(COUNT(M213:N213)&lt;&gt;2,"",M213*N213)</x:f>
        <x:v>4</x:v>
      </x:c>
      <x:c r="P213" s="58"/>
      <x:c r="Q213" s="58"/>
      <x:c r="R213" s="15"/>
      <x:c r="S213" s="15"/>
    </x:row>
    <x:row r="214" ht="24" hidden="0" customHeight="1">
      <x:c r="A214" t="n" s="79">
        <x:f>Daily!A50</x:f>
        <x:v>46409.5</x:v>
      </x:c>
      <x:c r="B214" t="str" s="16">
        <x:f>Daily!D50</x:f>
        <x:v>Muscle-up movement + Cal-Intervals</x:v>
      </x:c>
      <x:c r="C214" t="str" s="15">
        <x:v>Low-bar transition</x:v>
      </x:c>
      <x:c r="D214" t="str" s="15">
        <x:v>reps</x:v>
      </x:c>
      <x:c r="E214" t="n" s="15">
        <x:v>2</x:v>
      </x:c>
      <x:c r="F214" t="n" s="15">
        <x:v>3</x:v>
      </x:c>
      <x:c r="G214" t="n" s="15">
        <x:f>E214*F214</x:f>
        <x:v>6</x:v>
      </x:c>
      <x:c r="H214" t="str" s="15">
        <x:f>IF(AND(Daily!G50=TRUE,COUNT(Daily!H50,Daily!I50)&gt;0),SUM(Daily!H50,Daily!I50),"")</x:f>
      </x:c>
      <x:c r="I214" t="str" s="58">
        <x:f>IF(AND(ISNUMBER(H214),G214&gt;0),100*H214/G214,"")</x:f>
      </x:c>
      <x:c r="J214" t="n" s="58">
        <x:f>IF(COUNTIF(Library!$B$3:$B$58,C214)&lt;&gt;1,"",INDEX(Library!$D$3:$D$58,MATCH(C214,Library!$B$3:$B$58,0)))</x:f>
        <x:v>4</x:v>
      </x:c>
      <x:c r="K214" t="n" s="59">
        <x:f>Daily!M50</x:f>
        <x:v>0</x:v>
      </x:c>
      <x:c r="L214" t="n" s="60">
        <x:f>IF(COUNTIF(Library!$B$3:$B$58,C214)&lt;&gt;1,"",IF(COUNTIFS(Library!$B$3:$B$58,C214,Library!$E$3:$E$58,"&lt;&gt;")=0,0,INDEX(Library!$E$3:$E$58,MATCH(C214,Library!$B$3:$B$58,0))))</x:f>
        <x:v>0</x:v>
      </x:c>
      <x:c r="M214" t="n" s="58">
        <x:f>IF(COUNT(J214:L214)&lt;&gt;3,"",MIN(10,J214*(1+K214*L214)))</x:f>
        <x:v>4</x:v>
      </x:c>
      <x:c r="N214" s="58">
        <x:f>E214</x:f>
        <x:v>2</x:v>
      </x:c>
      <x:c r="O214" s="58">
        <x:f>IF(COUNT(M214:N214)&lt;&gt;2,"",M214*N214)</x:f>
        <x:v>8</x:v>
      </x:c>
      <x:c r="P214" s="58">
        <x:f>IF(COUNT(O214:O218)&lt;&gt;COUNT(N214:N218),"",ROUND(SUM(O214:O218)/SUM(N214:N218),1))</x:f>
        <x:v>4.4</x:v>
      </x:c>
      <x:c r="Q214" t="str" s="58">
        <x:f>IF(COUNT(I214:I218)=0,"",MEDIAN(I214:I218))</x:f>
      </x:c>
      <x:c r="R214" t="n" s="15">
        <x:f>COUNT(I214:I218)</x:f>
        <x:v>0</x:v>
      </x:c>
      <x:c r="S214" t="n" s="15">
        <x:v>5</x:v>
      </x:c>
    </x:row>
    <x:row r="215" ht="24" hidden="0" customHeight="1">
      <x:c r="A215" t="n" s="79">
        <x:f>Daily!A50</x:f>
        <x:v>46409.5</x:v>
      </x:c>
      <x:c r="B215" t="str" s="16">
        <x:f>Daily!D50</x:f>
        <x:v>Muscle-up movement + Cal-Intervals</x:v>
      </x:c>
      <x:c r="C215" t="str" s="15">
        <x:v>Handstand walk</x:v>
      </x:c>
      <x:c r="D215" t="str" s="15">
        <x:v>m</x:v>
      </x:c>
      <x:c r="E215" t="n" s="15">
        <x:v>2</x:v>
      </x:c>
      <x:c r="F215" t="n" s="15">
        <x:v>3</x:v>
      </x:c>
      <x:c r="G215" t="n" s="15">
        <x:f>E215*F215</x:f>
        <x:v>6</x:v>
      </x:c>
      <x:c r="H215" t="str" s="15">
        <x:f>IF(AND(Daily!G50=TRUE,COUNT(Daily!N50,Daily!O50)&gt;0),SUM(Daily!N50,Daily!O50),"")</x:f>
      </x:c>
      <x:c r="I215" t="str" s="58">
        <x:f>IF(AND(ISNUMBER(H215),G215&gt;0),100*H215/G215,"")</x:f>
      </x:c>
      <x:c r="J215" t="n" s="58">
        <x:f>IF(COUNTIF(Library!$B$3:$B$58,C215)&lt;&gt;1,"",INDEX(Library!$D$3:$D$58,MATCH(C215,Library!$B$3:$B$58,0)))</x:f>
        <x:v>3</x:v>
      </x:c>
      <x:c r="K215" t="n" s="59">
        <x:f>Daily!S50</x:f>
        <x:v>0</x:v>
      </x:c>
      <x:c r="L215" t="n" s="60">
        <x:f>IF(COUNTIF(Library!$B$3:$B$58,C215)&lt;&gt;1,"",IF(COUNTIFS(Library!$B$3:$B$58,C215,Library!$E$3:$E$58,"&lt;&gt;")=0,0,INDEX(Library!$E$3:$E$58,MATCH(C215,Library!$B$3:$B$58,0))))</x:f>
        <x:v>0</x:v>
      </x:c>
      <x:c r="M215" t="n" s="58">
        <x:f>IF(COUNT(J215:L215)&lt;&gt;3,"",MIN(10,J215*(1+K215*L215)))</x:f>
        <x:v>3</x:v>
      </x:c>
      <x:c r="N215" s="58">
        <x:f>E215</x:f>
        <x:v>2</x:v>
      </x:c>
      <x:c r="O215" s="58">
        <x:f>IF(COUNT(M215:N215)&lt;&gt;2,"",M215*N215)</x:f>
        <x:v>6</x:v>
      </x:c>
      <x:c r="P215" s="58"/>
      <x:c r="Q215" s="58"/>
      <x:c r="R215" s="15"/>
      <x:c r="S215" s="15"/>
    </x:row>
    <x:row r="216" ht="24" hidden="0" customHeight="1">
      <x:c r="A216" t="n" s="79">
        <x:f>Daily!A50</x:f>
        <x:v>46409.5</x:v>
      </x:c>
      <x:c r="B216" t="str" s="16">
        <x:f>Daily!D50</x:f>
        <x:v>Muscle-up movement + Cal-Intervals</x:v>
      </x:c>
      <x:c r="C216" t="str" s="15">
        <x:v>Straight-bar dip</x:v>
      </x:c>
      <x:c r="D216" t="str" s="15">
        <x:v>reps</x:v>
      </x:c>
      <x:c r="E216" t="n" s="15">
        <x:v>2</x:v>
      </x:c>
      <x:c r="F216" t="n" s="15">
        <x:v>8</x:v>
      </x:c>
      <x:c r="G216" t="n" s="15">
        <x:f>E216*F216</x:f>
        <x:v>16</x:v>
      </x:c>
      <x:c r="H216" t="str" s="15">
        <x:f>IF(AND(Daily!G50=TRUE,COUNT(Daily!T50,Daily!U50)&gt;0),SUM(Daily!T50,Daily!U50),"")</x:f>
      </x:c>
      <x:c r="I216" t="str" s="58">
        <x:f>IF(AND(ISNUMBER(H216),G216&gt;0),100*H216/G216,"")</x:f>
      </x:c>
      <x:c r="J216" t="n" s="58">
        <x:f>IF(COUNTIF(Library!$B$3:$B$58,C216)&lt;&gt;1,"",INDEX(Library!$D$3:$D$58,MATCH(C216,Library!$B$3:$B$58,0)))</x:f>
        <x:v>4</x:v>
      </x:c>
      <x:c r="K216" t="n" s="59">
        <x:f>Daily!Y50</x:f>
        <x:v>0</x:v>
      </x:c>
      <x:c r="L216" t="n" s="60">
        <x:f>IF(COUNTIF(Library!$B$3:$B$58,C216)&lt;&gt;1,"",IF(COUNTIFS(Library!$B$3:$B$58,C216,Library!$E$3:$E$58,"&lt;&gt;")=0,0,INDEX(Library!$E$3:$E$58,MATCH(C216,Library!$B$3:$B$58,0))))</x:f>
        <x:v>0.02</x:v>
      </x:c>
      <x:c r="M216" t="n" s="58">
        <x:f>IF(COUNT(J216:L216)&lt;&gt;3,"",MIN(10,J216*(1+K216*L216)))</x:f>
        <x:v>4</x:v>
      </x:c>
      <x:c r="N216" s="58">
        <x:f>E216</x:f>
        <x:v>2</x:v>
      </x:c>
      <x:c r="O216" s="58">
        <x:f>IF(COUNT(M216:N216)&lt;&gt;2,"",M216*N216)</x:f>
        <x:v>8</x:v>
      </x:c>
      <x:c r="P216" s="58"/>
      <x:c r="Q216" s="58"/>
      <x:c r="R216" s="15"/>
      <x:c r="S216" s="15"/>
    </x:row>
    <x:row r="217" ht="24" hidden="0" customHeight="1">
      <x:c r="A217" t="n" s="79">
        <x:f>Daily!A50</x:f>
        <x:v>46409.5</x:v>
      </x:c>
      <x:c r="B217" t="str" s="16">
        <x:f>Daily!D50</x:f>
        <x:v>Muscle-up movement + Cal-Intervals</x:v>
      </x:c>
      <x:c r="C217" t="str" s="15">
        <x:v>Elevated pike push-up</x:v>
      </x:c>
      <x:c r="D217" t="str" s="15">
        <x:v>reps</x:v>
      </x:c>
      <x:c r="E217" t="n" s="15">
        <x:v>2</x:v>
      </x:c>
      <x:c r="F217" t="n" s="15">
        <x:v>8</x:v>
      </x:c>
      <x:c r="G217" t="n" s="15">
        <x:f>E217*F217</x:f>
        <x:v>16</x:v>
      </x:c>
      <x:c r="H217" t="str" s="15">
        <x:f>IF(AND(Daily!G50=TRUE,COUNT(Daily!Z50,Daily!AA50)&gt;0),SUM(Daily!Z50,Daily!AA50),"")</x:f>
      </x:c>
      <x:c r="I217" t="str" s="58">
        <x:f>IF(AND(ISNUMBER(H217),G217&gt;0),100*H217/G217,"")</x:f>
      </x:c>
      <x:c r="J217" t="n" s="58">
        <x:f>IF(COUNTIF(Library!$B$3:$B$58,C217)&lt;&gt;1,"",INDEX(Library!$D$3:$D$58,MATCH(C217,Library!$B$3:$B$58,0)))</x:f>
        <x:v>4</x:v>
      </x:c>
      <x:c r="K217" t="n" s="59">
        <x:f>Daily!AE50</x:f>
        <x:v>0</x:v>
      </x:c>
      <x:c r="L217" t="n" s="60">
        <x:f>IF(COUNTIF(Library!$B$3:$B$58,C217)&lt;&gt;1,"",IF(COUNTIFS(Library!$B$3:$B$58,C217,Library!$E$3:$E$58,"&lt;&gt;")=0,0,INDEX(Library!$E$3:$E$58,MATCH(C217,Library!$B$3:$B$58,0))))</x:f>
        <x:v>0</x:v>
      </x:c>
      <x:c r="M217" t="n" s="58">
        <x:f>IF(COUNT(J217:L217)&lt;&gt;3,"",MIN(10,J217*(1+K217*L217)))</x:f>
        <x:v>4</x:v>
      </x:c>
      <x:c r="N217" s="58">
        <x:f>E217</x:f>
        <x:v>2</x:v>
      </x:c>
      <x:c r="O217" s="58">
        <x:f>IF(COUNT(M217:N217)&lt;&gt;2,"",M217*N217)</x:f>
        <x:v>8</x:v>
      </x:c>
      <x:c r="P217" s="58"/>
      <x:c r="Q217" s="58"/>
      <x:c r="R217" s="15"/>
      <x:c r="S217" s="15"/>
    </x:row>
    <x:row r="218" ht="24" hidden="0" customHeight="1">
      <x:c r="A218" t="n" s="79">
        <x:f>Daily!A50</x:f>
        <x:v>46409.5</x:v>
      </x:c>
      <x:c r="B218" t="str" s="16">
        <x:f>Daily!D50</x:f>
        <x:v>Muscle-up movement + Cal-Intervals</x:v>
      </x:c>
      <x:c r="C218" t="str" s="15">
        <x:v>Cal-Intervals</x:v>
      </x:c>
      <x:c r="D218" t="str" s="15">
        <x:v>rounds</x:v>
      </x:c>
      <x:c r="E218" t="n" s="15">
        <x:v>1</x:v>
      </x:c>
      <x:c r="F218" t="n" s="15">
        <x:v>2</x:v>
      </x:c>
      <x:c r="G218" t="n" s="15">
        <x:v>2</x:v>
      </x:c>
      <x:c r="H218" t="str" s="15">
        <x:f>IF(AND(Daily!G50=TRUE,ISNUMBER(Daily!AL50),Daily!AL50&gt;0),Daily!AL50,"")</x:f>
      </x:c>
      <x:c r="I218" t="str" s="58">
        <x:f>IF(ISNUMBER(H218),100*H218/G218,"")</x:f>
      </x:c>
      <x:c r="J218" t="n" s="58">
        <x:f>SUM(Library!F67:F70)/SUM(Library!E67:E70)</x:f>
        <x:v>5</x:v>
      </x:c>
      <x:c r="K218" s="59"/>
      <x:c r="L218" s="60"/>
      <x:c r="M218" t="n" s="58">
        <x:f>J218</x:f>
        <x:v>5</x:v>
      </x:c>
      <x:c r="N218" s="58">
        <x:f>G218*COUNT(Library!B67:B70)</x:f>
        <x:v>8</x:v>
      </x:c>
      <x:c r="O218" s="58">
        <x:f>IF(COUNT(M218:N218)&lt;&gt;2,"",M218*N218)</x:f>
        <x:v>40</x:v>
      </x:c>
      <x:c r="P218" s="58"/>
      <x:c r="Q218" s="58"/>
      <x:c r="R218" s="15"/>
      <x:c r="S218" s="15"/>
    </x:row>
    <x:row r="219" ht="36" hidden="0" customHeight="1"/>
    <x:row r="220" ht="36" hidden="0" customHeight="1"/>
    <x:row r="221" ht="36" hidden="0" customHeight="1"/>
    <x:row r="222" ht="36" hidden="0" customHeight="1"/>
    <x:row r="223" ht="36" hidden="0" customHeight="1"/>
    <x:row r="224" ht="36" hidden="0" customHeight="1"/>
    <x:row r="225" ht="36" hidden="0" customHeight="1"/>
    <x:row r="226" ht="36" hidden="0" customHeight="1"/>
    <x:row r="227" ht="36" hidden="0" customHeight="1"/>
    <x:row r="228" ht="36" hidden="0" customHeight="1"/>
    <x:row r="229" ht="36" hidden="0" customHeight="1"/>
    <x:row r="230" ht="36" hidden="0" customHeight="1"/>
    <x:row r="231" ht="36" hidden="0" customHeight="1"/>
    <x:row r="232" ht="36" hidden="0" customHeight="1"/>
    <x:row r="233" ht="36" hidden="0" customHeight="1"/>
    <x:row r="234" ht="36" hidden="0" customHeight="1"/>
    <x:row r="235" ht="36" hidden="0" customHeight="1"/>
    <x:row r="236" ht="36" hidden="0" customHeight="1"/>
    <x:row r="237" ht="36" hidden="0" customHeight="1"/>
    <x:row r="238" ht="36" hidden="0" customHeight="1"/>
    <x:row r="239" ht="36" hidden="0" customHeight="1"/>
    <x:row r="240" ht="36" hidden="0" customHeight="1"/>
    <x:row r="241" ht="36" hidden="0" customHeight="1"/>
    <x:row r="242" ht="36" hidden="0" customHeight="1"/>
    <x:row r="243" ht="36" hidden="0" customHeight="1"/>
    <x:row r="244" ht="36" hidden="0" customHeight="1"/>
    <x:row r="245" ht="36" hidden="0" customHeight="1"/>
    <x:row r="246" ht="36" hidden="0" customHeight="1"/>
    <x:row r="247" ht="36" hidden="0" customHeight="1"/>
    <x:row r="248" ht="36" hidden="0" customHeight="1"/>
    <x:row r="249" ht="36" hidden="0" customHeight="1"/>
    <x:row r="250" ht="36" hidden="0" customHeight="1"/>
    <x:row r="251" ht="36" hidden="0" customHeight="1"/>
    <x:row r="252" ht="36" hidden="0" customHeight="1"/>
    <x:row r="253" ht="36" hidden="0" customHeight="1"/>
    <x:row r="254" ht="36" hidden="0" customHeight="1"/>
    <x:row r="255" ht="36" hidden="0" customHeight="1"/>
    <x:row r="256" ht="36" hidden="0" customHeight="1"/>
    <x:row r="257" ht="36" hidden="0" customHeight="1"/>
    <x:row r="258" ht="36" hidden="0" customHeight="1"/>
  </x:sheetData>
  <x:mergeCells>
    <x:mergeCell ref="A1:D1"/>
  </x:mergeCells>
  <x:dataValidations count="1">
    <x:dataValidation type="decimal" errorStyle="stop" operator="greaterThan" allowBlank="0" showDropDown="0" showInputMessage="0" showErrorMessage="0" sqref="B175">
      <x:formula1>0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1eaa794813c4a9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1" width="18" hidden="0" customWidth="1"/>
    <x:col min="2" max="2" width="43" hidden="0" customWidth="1"/>
    <x:col min="3" max="3" width="16" hidden="0" customWidth="1"/>
    <x:col min="4" max="6" width="20" hidden="0" customWidth="1"/>
  </x:cols>
  <x:sheetData>
    <x:row r="1" ht="26" hidden="0" customHeight="1">
      <x:c r="A1" s="13" t="s">
        <x:v>139</x:v>
      </x:c>
      <x:c r="B1" s="13"/>
      <x:c r="C1" s="13"/>
      <x:c r="D1" s="13"/>
      <x:c r="E1" s="13"/>
    </x:row>
    <x:row r="2" ht="34" hidden="0" customHeight="1">
      <x:c r="A2" s="14" t="s">
        <x:v>140</x:v>
      </x:c>
      <x:c r="B2" s="14" t="s">
        <x:v>120</x:v>
      </x:c>
      <x:c r="C2" s="14" t="s">
        <x:v>121</x:v>
      </x:c>
      <x:c r="D2" s="14" t="s">
        <x:v>141</x:v>
      </x:c>
      <x:c r="E2" s="14" t="s">
        <x:v>129</x:v>
      </x:c>
    </x:row>
    <x:row r="3" ht="30" hidden="0" customHeight="1">
      <x:c r="A3" s="16" t="str">
        <x:v>Cal-Intervals</x:v>
      </x:c>
      <x:c r="B3" s="15" t="str">
        <x:v>Mike Tyson push-up</x:v>
      </x:c>
      <x:c r="C3" s="16" t="str">
        <x:v>seconds</x:v>
      </x:c>
      <x:c r="D3" s="67" t="n">
        <x:v>4</x:v>
      </x:c>
      <x:c r="E3" s="68" t="n">
        <x:v>0</x:v>
      </x:c>
    </x:row>
    <x:row r="4" ht="30" hidden="0" customHeight="1">
      <x:c r="A4" s="16" t="s">
        <x:v>53</x:v>
      </x:c>
      <x:c r="B4" s="15" t="s">
        <x:v>142</x:v>
      </x:c>
      <x:c r="C4" s="16" t="s">
        <x:v>143</x:v>
      </x:c>
      <x:c r="D4" s="67" t="n">
        <x:v>5</x:v>
      </x:c>
      <x:c r="E4" s="68" t="n">
        <x:v>0.02</x:v>
      </x:c>
    </x:row>
    <x:row r="5" ht="30" hidden="0" customHeight="1">
      <x:c r="A5" s="16" t="s">
        <x:v>53</x:v>
      </x:c>
      <x:c r="B5" s="15" t="s">
        <x:v>144</x:v>
      </x:c>
      <x:c r="C5" s="16" t="s">
        <x:v>143</x:v>
      </x:c>
      <x:c r="D5" s="67" t="n">
        <x:v>5</x:v>
      </x:c>
      <x:c r="E5" s="68"/>
    </x:row>
    <x:row r="6" ht="30" hidden="0" customHeight="1">
      <x:c r="A6" s="16" t="s">
        <x:v>145</x:v>
      </x:c>
      <x:c r="B6" s="15" t="s">
        <x:v>146</x:v>
      </x:c>
      <x:c r="C6" s="16" t="s">
        <x:v>143</x:v>
      </x:c>
      <x:c r="D6" s="67" t="n">
        <x:v>4</x:v>
      </x:c>
      <x:c r="E6" s="68"/>
    </x:row>
    <x:row r="7" ht="30" hidden="0" customHeight="1">
      <x:c r="A7" s="16" t="s">
        <x:v>145</x:v>
      </x:c>
      <x:c r="B7" s="15" t="s">
        <x:v>147</x:v>
      </x:c>
      <x:c r="C7" s="16" t="s">
        <x:v>148</x:v>
      </x:c>
      <x:c r="D7" s="67" t="n">
        <x:v>7</x:v>
      </x:c>
      <x:c r="E7" s="68"/>
    </x:row>
    <x:row r="8" ht="30" hidden="0" customHeight="1">
      <x:c r="A8" s="16" t="s">
        <x:v>145</x:v>
      </x:c>
      <x:c r="B8" s="15" t="s">
        <x:v>149</x:v>
      </x:c>
      <x:c r="C8" s="16" t="s">
        <x:v>148</x:v>
      </x:c>
      <x:c r="D8" s="67" t="n">
        <x:v>6</x:v>
      </x:c>
      <x:c r="E8" s="68"/>
    </x:row>
    <x:row r="9" ht="30" hidden="0" customHeight="1">
      <x:c r="A9" s="16" t="str">
        <x:v>Movement</x:v>
      </x:c>
      <x:c r="B9" s="15" t="str">
        <x:v>Easy bear crawl</x:v>
      </x:c>
      <x:c r="C9" s="16" t="str">
        <x:v>seconds</x:v>
      </x:c>
      <x:c r="D9" s="67" t="n">
        <x:v>1</x:v>
      </x:c>
      <x:c r="E9" s="68" t="n">
        <x:v>0</x:v>
      </x:c>
    </x:row>
    <x:row r="10" ht="30" hidden="0" customHeight="1">
      <x:c r="A10" s="16" t="str">
        <x:v>Handstand / HSPU</x:v>
      </x:c>
      <x:c r="B10" s="15" t="str">
        <x:v>Easy handstand walk</x:v>
      </x:c>
      <x:c r="C10" s="16" t="str">
        <x:v>m</x:v>
      </x:c>
      <x:c r="D10" s="67" t="n">
        <x:v>1</x:v>
      </x:c>
      <x:c r="E10" s="68" t="n">
        <x:v>0</x:v>
      </x:c>
    </x:row>
    <x:row r="11" ht="30" hidden="0" customHeight="1">
      <x:c r="A11" s="16" t="s">
        <x:v>145</x:v>
      </x:c>
      <x:c r="B11" s="15" t="s">
        <x:v>150</x:v>
      </x:c>
      <x:c r="C11" s="16" t="s">
        <x:v>143</x:v>
      </x:c>
      <x:c r="D11" s="67" t="n">
        <x:v>1</x:v>
      </x:c>
      <x:c r="E11" s="68"/>
    </x:row>
    <x:row r="12" ht="30" hidden="0" customHeight="1">
      <x:c r="A12" s="16" t="s">
        <x:v>145</x:v>
      </x:c>
      <x:c r="B12" s="15" t="s">
        <x:v>151</x:v>
      </x:c>
      <x:c r="C12" s="16" t="s">
        <x:v>148</x:v>
      </x:c>
      <x:c r="D12" s="67" t="n">
        <x:v>4</x:v>
      </x:c>
      <x:c r="E12" s="68"/>
    </x:row>
    <x:row r="13" ht="30" hidden="0" customHeight="1">
      <x:c r="A13" s="16" t="s">
        <x:v>145</x:v>
      </x:c>
      <x:c r="B13" s="15" t="s">
        <x:v>152</x:v>
      </x:c>
      <x:c r="C13" s="16" t="s">
        <x:v>148</x:v>
      </x:c>
      <x:c r="D13" s="67" t="n">
        <x:v>8</x:v>
      </x:c>
      <x:c r="E13" s="68"/>
    </x:row>
    <x:row r="14" ht="30" hidden="0" customHeight="1">
      <x:c r="A14" s="16" t="s">
        <x:v>145</x:v>
      </x:c>
      <x:c r="B14" s="15" t="s">
        <x:v>153</x:v>
      </x:c>
      <x:c r="C14" s="16" t="s">
        <x:v>148</x:v>
      </x:c>
      <x:c r="D14" s="67" t="n">
        <x:v>7</x:v>
      </x:c>
      <x:c r="E14" s="68"/>
    </x:row>
    <x:row r="15" ht="30" hidden="0" customHeight="1">
      <x:c r="A15" s="16" t="s">
        <x:v>145</x:v>
      </x:c>
      <x:c r="B15" s="15" t="s">
        <x:v>154</x:v>
      </x:c>
      <x:c r="C15" s="16" t="s">
        <x:v>148</x:v>
      </x:c>
      <x:c r="D15" s="67" t="n">
        <x:v>4</x:v>
      </x:c>
      <x:c r="E15" s="68"/>
    </x:row>
    <x:row r="16" ht="30" hidden="0" customHeight="1">
      <x:c r="A16" s="16" t="s">
        <x:v>145</x:v>
      </x:c>
      <x:c r="B16" s="15" t="s">
        <x:v>155</x:v>
      </x:c>
      <x:c r="C16" s="16" t="s">
        <x:v>148</x:v>
      </x:c>
      <x:c r="D16" s="67" t="n">
        <x:v>4</x:v>
      </x:c>
      <x:c r="E16" s="68"/>
    </x:row>
    <x:row r="17" ht="30" hidden="0" customHeight="1">
      <x:c r="A17" s="16" t="s">
        <x:v>145</x:v>
      </x:c>
      <x:c r="B17" s="15" t="s">
        <x:v>156</x:v>
      </x:c>
      <x:c r="C17" s="16" t="s">
        <x:v>148</x:v>
      </x:c>
      <x:c r="D17" s="67" t="n">
        <x:v>4</x:v>
      </x:c>
      <x:c r="E17" s="68"/>
    </x:row>
    <x:row r="18" ht="30" hidden="0" customHeight="1">
      <x:c r="A18" s="16" t="str">
        <x:v>Handstand / HSPU</x:v>
      </x:c>
      <x:c r="B18" s="15" t="str">
        <x:v>Handstand walk test</x:v>
      </x:c>
      <x:c r="C18" s="16" t="str">
        <x:v>m</x:v>
      </x:c>
      <x:c r="D18" s="67" t="n">
        <x:v>3</x:v>
      </x:c>
      <x:c r="E18" s="68" t="n">
        <x:v>0</x:v>
      </x:c>
    </x:row>
    <x:row r="19" ht="30" hidden="0" customHeight="1">
      <x:c r="A19" s="16" t="str">
        <x:v>Handstand / HSPU</x:v>
      </x:c>
      <x:c r="B19" s="15" t="str">
        <x:v>Handstand walk</x:v>
      </x:c>
      <x:c r="C19" s="16" t="str">
        <x:v>m</x:v>
      </x:c>
      <x:c r="D19" s="67" t="n">
        <x:v>3</x:v>
      </x:c>
      <x:c r="E19" s="68" t="n">
        <x:v>0</x:v>
      </x:c>
    </x:row>
    <x:row r="20" ht="30" hidden="0" customHeight="1">
      <x:c r="A20" s="16" t="s">
        <x:v>145</x:v>
      </x:c>
      <x:c r="B20" s="15" t="s">
        <x:v>157</x:v>
      </x:c>
      <x:c r="C20" s="16" t="s">
        <x:v>148</x:v>
      </x:c>
      <x:c r="D20" s="67" t="n">
        <x:v>8</x:v>
      </x:c>
      <x:c r="E20" s="68"/>
    </x:row>
    <x:row r="21" ht="30" hidden="0" customHeight="1">
      <x:c r="A21" s="16" t="s">
        <x:v>145</x:v>
      </x:c>
      <x:c r="B21" s="15" t="s">
        <x:v>158</x:v>
      </x:c>
      <x:c r="C21" s="16" t="s">
        <x:v>148</x:v>
      </x:c>
      <x:c r="D21" s="67" t="n">
        <x:v>7</x:v>
      </x:c>
      <x:c r="E21" s="68"/>
    </x:row>
    <x:row r="22" ht="30" hidden="0" customHeight="1">
      <x:c r="A22" s="16" t="s">
        <x:v>145</x:v>
      </x:c>
      <x:c r="B22" s="15" t="s">
        <x:v>159</x:v>
      </x:c>
      <x:c r="C22" s="16" t="s">
        <x:v>148</x:v>
      </x:c>
      <x:c r="D22" s="67" t="n">
        <x:v>8</x:v>
      </x:c>
      <x:c r="E22" s="68"/>
    </x:row>
    <x:row r="23" ht="30" hidden="0" customHeight="1">
      <x:c r="A23" s="16" t="s">
        <x:v>160</x:v>
      </x:c>
      <x:c r="B23" s="15" t="s">
        <x:v>161</x:v>
      </x:c>
      <x:c r="C23" s="16" t="s">
        <x:v>143</x:v>
      </x:c>
      <x:c r="D23" s="67" t="n">
        <x:v>1</x:v>
      </x:c>
      <x:c r="E23" s="68"/>
    </x:row>
    <x:row r="24" ht="30" hidden="0" customHeight="1">
      <x:c r="A24" s="16" t="s">
        <x:v>160</x:v>
      </x:c>
      <x:c r="B24" s="15" t="s">
        <x:v>162</x:v>
      </x:c>
      <x:c r="C24" s="16" t="s">
        <x:v>143</x:v>
      </x:c>
      <x:c r="D24" s="67" t="n">
        <x:v>1</x:v>
      </x:c>
      <x:c r="E24" s="68"/>
    </x:row>
    <x:row r="25" ht="30" hidden="0" customHeight="1">
      <x:c r="A25" s="16" t="s">
        <x:v>20</x:v>
      </x:c>
      <x:c r="B25" s="15" t="s">
        <x:v>163</x:v>
      </x:c>
      <x:c r="C25" s="16" t="s">
        <x:v>148</x:v>
      </x:c>
      <x:c r="D25" s="67" t="n">
        <x:v>4</x:v>
      </x:c>
      <x:c r="E25" s="68" t="n">
        <x:v>0.03</x:v>
      </x:c>
    </x:row>
    <x:row r="26" ht="30" hidden="0" customHeight="1">
      <x:c r="A26" s="16" t="s">
        <x:v>20</x:v>
      </x:c>
      <x:c r="B26" s="15" t="s">
        <x:v>164</x:v>
      </x:c>
      <x:c r="C26" s="16" t="s">
        <x:v>148</x:v>
      </x:c>
      <x:c r="D26" s="67" t="n">
        <x:v>6</x:v>
      </x:c>
      <x:c r="E26" s="68" t="n">
        <x:v>0.04</x:v>
      </x:c>
    </x:row>
    <x:row r="27" ht="30" hidden="0" customHeight="1">
      <x:c r="A27" s="16" t="s">
        <x:v>20</x:v>
      </x:c>
      <x:c r="B27" s="15" t="s">
        <x:v>165</x:v>
      </x:c>
      <x:c r="C27" s="16" t="s">
        <x:v>148</x:v>
      </x:c>
      <x:c r="D27" s="67" t="n">
        <x:v>4</x:v>
      </x:c>
      <x:c r="E27" s="68" t="n">
        <x:v>0.03</x:v>
      </x:c>
    </x:row>
    <x:row r="28" ht="30" hidden="0" customHeight="1">
      <x:c r="A28" s="16" t="s">
        <x:v>20</x:v>
      </x:c>
      <x:c r="B28" s="15" t="s">
        <x:v>166</x:v>
      </x:c>
      <x:c r="C28" s="16" t="s">
        <x:v>148</x:v>
      </x:c>
      <x:c r="D28" s="67" t="n">
        <x:v>6</x:v>
      </x:c>
      <x:c r="E28" s="68" t="n">
        <x:v>0.04</x:v>
      </x:c>
    </x:row>
    <x:row r="29" ht="30" hidden="0" customHeight="1">
      <x:c r="A29" s="16" t="s">
        <x:v>20</x:v>
      </x:c>
      <x:c r="B29" s="15" t="s">
        <x:v>167</x:v>
      </x:c>
      <x:c r="C29" s="16" t="s">
        <x:v>148</x:v>
      </x:c>
      <x:c r="D29" s="67" t="n">
        <x:v>4</x:v>
      </x:c>
      <x:c r="E29" s="68" t="n">
        <x:v>0.04</x:v>
      </x:c>
    </x:row>
    <x:row r="30" ht="30" hidden="0" customHeight="1">
      <x:c r="A30" s="16" t="s">
        <x:v>20</x:v>
      </x:c>
      <x:c r="B30" s="15" t="s">
        <x:v>168</x:v>
      </x:c>
      <x:c r="C30" s="16" t="s">
        <x:v>148</x:v>
      </x:c>
      <x:c r="D30" s="67" t="n">
        <x:v>4</x:v>
      </x:c>
      <x:c r="E30" s="68" t="n">
        <x:v>0.02</x:v>
      </x:c>
    </x:row>
    <x:row r="31" ht="30" hidden="0" customHeight="1">
      <x:c r="A31" s="16" t="s">
        <x:v>20</x:v>
      </x:c>
      <x:c r="B31" s="15" t="s">
        <x:v>169</x:v>
      </x:c>
      <x:c r="C31" s="16" t="s">
        <x:v>148</x:v>
      </x:c>
      <x:c r="D31" s="67" t="n">
        <x:v>1</x:v>
      </x:c>
      <x:c r="E31" s="68" t="n">
        <x:v>0.04</x:v>
      </x:c>
    </x:row>
    <x:row r="32" ht="30" hidden="0" customHeight="1">
      <x:c r="A32" s="16" t="s">
        <x:v>20</x:v>
      </x:c>
      <x:c r="B32" s="15" t="s">
        <x:v>170</x:v>
      </x:c>
      <x:c r="C32" s="16" t="s">
        <x:v>148</x:v>
      </x:c>
      <x:c r="D32" s="67" t="n">
        <x:v>1</x:v>
      </x:c>
      <x:c r="E32" s="68"/>
    </x:row>
    <x:row r="33" ht="30" hidden="0" customHeight="1">
      <x:c r="A33" s="16" t="s">
        <x:v>20</x:v>
      </x:c>
      <x:c r="B33" s="15" t="s">
        <x:v>171</x:v>
      </x:c>
      <x:c r="C33" s="16" t="s">
        <x:v>148</x:v>
      </x:c>
      <x:c r="D33" s="67" t="n">
        <x:v>1</x:v>
      </x:c>
      <x:c r="E33" s="68" t="n">
        <x:v>0.04</x:v>
      </x:c>
    </x:row>
    <x:row r="34" ht="30" hidden="0" customHeight="1">
      <x:c r="A34" s="16" t="s">
        <x:v>20</x:v>
      </x:c>
      <x:c r="B34" s="15" t="s">
        <x:v>172</x:v>
      </x:c>
      <x:c r="C34" s="16" t="s">
        <x:v>148</x:v>
      </x:c>
      <x:c r="D34" s="67" t="n">
        <x:v>4</x:v>
      </x:c>
      <x:c r="E34" s="68" t="n">
        <x:v>0.04</x:v>
      </x:c>
    </x:row>
    <x:row r="35" ht="30" hidden="0" customHeight="1">
      <x:c r="A35" s="16" t="s">
        <x:v>20</x:v>
      </x:c>
      <x:c r="B35" s="15" t="s">
        <x:v>173</x:v>
      </x:c>
      <x:c r="C35" s="16" t="s">
        <x:v>148</x:v>
      </x:c>
      <x:c r="D35" s="67" t="n">
        <x:v>4</x:v>
      </x:c>
      <x:c r="E35" s="68" t="n">
        <x:v>0.04</x:v>
      </x:c>
    </x:row>
    <x:row r="36" ht="30" hidden="0" customHeight="1">
      <x:c r="A36" s="16" t="s">
        <x:v>20</x:v>
      </x:c>
      <x:c r="B36" s="15" t="s">
        <x:v>174</x:v>
      </x:c>
      <x:c r="C36" s="16" t="s">
        <x:v>148</x:v>
      </x:c>
      <x:c r="D36" s="67" t="n">
        <x:v>6</x:v>
      </x:c>
      <x:c r="E36" s="68" t="n">
        <x:v>0.04</x:v>
      </x:c>
    </x:row>
    <x:row r="37" ht="30" hidden="0" customHeight="1">
      <x:c r="A37" s="16" t="s">
        <x:v>20</x:v>
      </x:c>
      <x:c r="B37" s="15" t="s">
        <x:v>175</x:v>
      </x:c>
      <x:c r="C37" s="16" t="s">
        <x:v>148</x:v>
      </x:c>
      <x:c r="D37" s="67" t="n">
        <x:v>4</x:v>
      </x:c>
      <x:c r="E37" s="68" t="n">
        <x:v>0.04</x:v>
      </x:c>
    </x:row>
    <x:row r="38" ht="30" hidden="0" customHeight="1">
      <x:c r="A38" s="16" t="s">
        <x:v>20</x:v>
      </x:c>
      <x:c r="B38" s="15" t="s">
        <x:v>176</x:v>
      </x:c>
      <x:c r="C38" s="16" t="s">
        <x:v>148</x:v>
      </x:c>
      <x:c r="D38" s="67" t="n">
        <x:v>7</x:v>
      </x:c>
      <x:c r="E38" s="68" t="n">
        <x:v>0.04</x:v>
      </x:c>
    </x:row>
    <x:row r="39" ht="30" hidden="0" customHeight="1">
      <x:c r="A39" s="16" t="s">
        <x:v>20</x:v>
      </x:c>
      <x:c r="B39" s="15" t="s">
        <x:v>177</x:v>
      </x:c>
      <x:c r="C39" s="16" t="s">
        <x:v>148</x:v>
      </x:c>
      <x:c r="D39" s="67" t="n">
        <x:v>8</x:v>
      </x:c>
      <x:c r="E39" s="68" t="n">
        <x:v>0.04</x:v>
      </x:c>
    </x:row>
    <x:row r="40" ht="30" hidden="0" customHeight="1">
      <x:c r="A40" s="16" t="str">
        <x:v>Muscle-up</x:v>
      </x:c>
      <x:c r="B40" s="15" t="str">
        <x:v>Parallel-bar dip</x:v>
      </x:c>
      <x:c r="C40" s="16" t="str">
        <x:v>reps</x:v>
      </x:c>
      <x:c r="D40" s="67" t="n">
        <x:v>4</x:v>
      </x:c>
      <x:c r="E40" s="68" t="n">
        <x:v>0.02</x:v>
      </x:c>
    </x:row>
    <x:row r="41" ht="30" hidden="0" customHeight="1">
      <x:c r="A41" s="16" t="s">
        <x:v>20</x:v>
      </x:c>
      <x:c r="B41" s="15" t="s">
        <x:v>178</x:v>
      </x:c>
      <x:c r="C41" s="16" t="s">
        <x:v>148</x:v>
      </x:c>
      <x:c r="D41" s="67" t="n">
        <x:v>4</x:v>
      </x:c>
      <x:c r="E41" s="68"/>
    </x:row>
    <x:row r="42" ht="30" hidden="0" customHeight="1">
      <x:c r="A42" s="16" t="s">
        <x:v>20</x:v>
      </x:c>
      <x:c r="B42" s="15" t="s">
        <x:v>179</x:v>
      </x:c>
      <x:c r="C42" s="16" t="s">
        <x:v>148</x:v>
      </x:c>
      <x:c r="D42" s="67" t="n">
        <x:v>8</x:v>
      </x:c>
      <x:c r="E42" s="68" t="n">
        <x:v>0.04</x:v>
      </x:c>
    </x:row>
    <x:row r="43" ht="30" hidden="0" customHeight="1">
      <x:c r="A43" s="16" t="s">
        <x:v>20</x:v>
      </x:c>
      <x:c r="B43" s="15" t="s">
        <x:v>180</x:v>
      </x:c>
      <x:c r="C43" s="16" t="s">
        <x:v>148</x:v>
      </x:c>
      <x:c r="D43" s="67" t="n">
        <x:v>6</x:v>
      </x:c>
      <x:c r="E43" s="68" t="n">
        <x:v>0.04</x:v>
      </x:c>
    </x:row>
    <x:row r="44" ht="30" hidden="0" customHeight="1">
      <x:c r="A44" s="16" t="s">
        <x:v>20</x:v>
      </x:c>
      <x:c r="B44" s="15" t="s">
        <x:v>181</x:v>
      </x:c>
      <x:c r="C44" s="16" t="s">
        <x:v>148</x:v>
      </x:c>
      <x:c r="D44" s="67" t="n">
        <x:v>8</x:v>
      </x:c>
      <x:c r="E44" s="68" t="n">
        <x:v>0.04</x:v>
      </x:c>
    </x:row>
    <x:row r="45" ht="30" hidden="0" customHeight="1">
      <x:c r="A45" s="16" t="s">
        <x:v>20</x:v>
      </x:c>
      <x:c r="B45" s="15" t="s">
        <x:v>182</x:v>
      </x:c>
      <x:c r="C45" s="16" t="s">
        <x:v>148</x:v>
      </x:c>
      <x:c r="D45" s="67" t="n">
        <x:v>2</x:v>
      </x:c>
      <x:c r="E45" s="68" t="n">
        <x:v>0.04</x:v>
      </x:c>
    </x:row>
    <x:row r="46" ht="30" hidden="0" customHeight="1">
      <x:c r="A46" s="16" t="s">
        <x:v>20</x:v>
      </x:c>
      <x:c r="B46" s="15" t="s">
        <x:v>183</x:v>
      </x:c>
      <x:c r="C46" s="16" t="s">
        <x:v>148</x:v>
      </x:c>
      <x:c r="D46" s="67" t="n">
        <x:v>4</x:v>
      </x:c>
      <x:c r="E46" s="68" t="n">
        <x:v>0.04</x:v>
      </x:c>
    </x:row>
    <x:row r="47" ht="30" hidden="0" customHeight="1">
      <x:c r="A47" s="16" t="s">
        <x:v>27</x:v>
      </x:c>
      <x:c r="B47" s="15" t="s">
        <x:v>184</x:v>
      </x:c>
      <x:c r="C47" s="16" t="s">
        <x:v>185</x:v>
      </x:c>
      <x:c r="D47" s="67" t="n">
        <x:v>4</x:v>
      </x:c>
      <x:c r="E47" s="68" t="n">
        <x:v>0.03</x:v>
      </x:c>
    </x:row>
    <x:row r="48" ht="30" hidden="0" customHeight="1">
      <x:c r="A48" s="16" t="s">
        <x:v>27</x:v>
      </x:c>
      <x:c r="B48" s="15" t="s">
        <x:v>186</x:v>
      </x:c>
      <x:c r="C48" s="16" t="s">
        <x:v>185</x:v>
      </x:c>
      <x:c r="D48" s="67" t="n">
        <x:v>2</x:v>
      </x:c>
      <x:c r="E48" s="68" t="n">
        <x:v>0.03</x:v>
      </x:c>
    </x:row>
    <x:row r="49" ht="30" hidden="0" customHeight="1">
      <x:c r="A49" s="16" t="s">
        <x:v>27</x:v>
      </x:c>
      <x:c r="B49" s="15" t="s">
        <x:v>187</x:v>
      </x:c>
      <x:c r="C49" s="16" t="s">
        <x:v>185</x:v>
      </x:c>
      <x:c r="D49" s="67" t="n">
        <x:v>2</x:v>
      </x:c>
      <x:c r="E49" s="68" t="n">
        <x:v>0.03</x:v>
      </x:c>
    </x:row>
    <x:row r="50" ht="30" hidden="0" customHeight="1">
      <x:c r="A50" s="16" t="s">
        <x:v>27</x:v>
      </x:c>
      <x:c r="B50" s="15" t="s">
        <x:v>188</x:v>
      </x:c>
      <x:c r="C50" s="16" t="s">
        <x:v>185</x:v>
      </x:c>
      <x:c r="D50" s="67" t="n">
        <x:v>2</x:v>
      </x:c>
      <x:c r="E50" s="68" t="n">
        <x:v>0.03</x:v>
      </x:c>
    </x:row>
    <x:row r="51" ht="30" hidden="0" customHeight="1">
      <x:c r="A51" s="16" t="s">
        <x:v>189</x:v>
      </x:c>
      <x:c r="B51" s="15" t="s">
        <x:v>190</x:v>
      </x:c>
      <x:c r="C51" s="16" t="s">
        <x:v>148</x:v>
      </x:c>
      <x:c r="D51" s="67" t="n">
        <x:v>4</x:v>
      </x:c>
      <x:c r="E51" s="68" t="n">
        <x:v>0</x:v>
      </x:c>
    </x:row>
    <x:row r="52" ht="30" hidden="0" customHeight="1">
      <x:c r="A52" s="16" t="s">
        <x:v>27</x:v>
      </x:c>
      <x:c r="B52" s="15" t="s">
        <x:v>191</x:v>
      </x:c>
      <x:c r="C52" s="16" t="s">
        <x:v>185</x:v>
      </x:c>
      <x:c r="D52" s="67" t="n">
        <x:v>4</x:v>
      </x:c>
      <x:c r="E52" s="68" t="n">
        <x:v>0.03</x:v>
      </x:c>
    </x:row>
    <x:row r="53" ht="30" hidden="0" customHeight="1">
      <x:c r="A53" s="16" t="s">
        <x:v>27</x:v>
      </x:c>
      <x:c r="B53" s="15" t="s">
        <x:v>192</x:v>
      </x:c>
      <x:c r="C53" s="16" t="s">
        <x:v>185</x:v>
      </x:c>
      <x:c r="D53" s="67" t="n">
        <x:v>4</x:v>
      </x:c>
      <x:c r="E53" s="68" t="n">
        <x:v>0.03</x:v>
      </x:c>
    </x:row>
    <x:row r="54" ht="30" hidden="0" customHeight="1">
      <x:c r="A54" s="16" t="s">
        <x:v>27</x:v>
      </x:c>
      <x:c r="B54" s="15" t="s">
        <x:v>193</x:v>
      </x:c>
      <x:c r="C54" s="16" t="s">
        <x:v>185</x:v>
      </x:c>
      <x:c r="D54" s="67" t="n">
        <x:v>2</x:v>
      </x:c>
      <x:c r="E54" s="68" t="n">
        <x:v>0.03</x:v>
      </x:c>
    </x:row>
    <x:row r="55" ht="30" hidden="0" customHeight="1">
      <x:c r="A55" s="16" t="s">
        <x:v>27</x:v>
      </x:c>
      <x:c r="B55" s="15" t="s">
        <x:v>194</x:v>
      </x:c>
      <x:c r="C55" s="16" t="s">
        <x:v>185</x:v>
      </x:c>
      <x:c r="D55" s="67" t="n">
        <x:v>8</x:v>
      </x:c>
      <x:c r="E55" s="68" t="n">
        <x:v>0.03</x:v>
      </x:c>
    </x:row>
    <x:row r="56" ht="30" hidden="0" customHeight="1">
      <x:c r="A56" s="16" t="s">
        <x:v>27</x:v>
      </x:c>
      <x:c r="B56" s="15" t="s">
        <x:v>195</x:v>
      </x:c>
      <x:c r="C56" s="16" t="s">
        <x:v>185</x:v>
      </x:c>
      <x:c r="D56" s="67" t="n">
        <x:v>8</x:v>
      </x:c>
      <x:c r="E56" s="68" t="n">
        <x:v>0.03</x:v>
      </x:c>
    </x:row>
    <x:row r="57" ht="30" hidden="0" customHeight="1">
      <x:c r="A57" s="16" t="s">
        <x:v>27</x:v>
      </x:c>
      <x:c r="B57" s="15" t="s">
        <x:v>196</x:v>
      </x:c>
      <x:c r="C57" s="16" t="s">
        <x:v>185</x:v>
      </x:c>
      <x:c r="D57" s="67" t="n">
        <x:v>2</x:v>
      </x:c>
      <x:c r="E57" s="68" t="n">
        <x:v>0.03</x:v>
      </x:c>
    </x:row>
    <x:row r="58" ht="30" hidden="0" customHeight="1">
      <x:c r="A58" s="16" t="s">
        <x:v>27</x:v>
      </x:c>
      <x:c r="B58" s="15" t="s">
        <x:v>197</x:v>
      </x:c>
      <x:c r="C58" s="16" t="s">
        <x:v>185</x:v>
      </x:c>
      <x:c r="D58" s="67" t="n">
        <x:v>2</x:v>
      </x:c>
      <x:c r="E58" s="68" t="n">
        <x:v>0.03</x:v>
      </x:c>
    </x:row>
    <x:row r="59" ht="30" hidden="0" customHeight="1"/>
    <x:row r="60" ht="26" hidden="0" customHeight="1">
      <x:c r="A60" s="13" t="s">
        <x:v>198</x:v>
      </x:c>
      <x:c r="B60" s="13"/>
      <x:c r="C60" s="13"/>
      <x:c r="D60" s="13"/>
      <x:c r="E60" s="13"/>
    </x:row>
    <x:row r="61" ht="26" hidden="0" customHeight="1">
      <x:c r="A61" s="14" t="s">
        <x:v>198</x:v>
      </x:c>
      <x:c r="B61" s="14" t="s">
        <x:v>199</x:v>
      </x:c>
      <x:c r="C61" s="14" t="s">
        <x:v>200</x:v>
      </x:c>
      <x:c r="D61" s="14" t="s">
        <x:v>90</x:v>
      </x:c>
      <x:c r="E61" s="64"/>
    </x:row>
    <x:row r="62" ht="44" hidden="0" customHeight="1">
      <x:c r="A62" s="16" t="s">
        <x:v>201</x:v>
      </x:c>
      <x:c r="B62" s="67" t="n">
        <x:v>6</x:v>
      </x:c>
      <x:c r="C62" s="67" t="n">
        <x:v>10</x:v>
      </x:c>
      <x:c r="D62" s="15" t="s">
        <x:v>202</x:v>
      </x:c>
      <x:c r="E62" s="15"/>
    </x:row>
    <x:row r="65" ht="30" hidden="0" customHeight="1">
      <x:c r="A65" s="26" t="s">
        <x:v>53</x:v>
      </x:c>
      <x:c r="B65" s="26"/>
      <x:c r="C65" s="26"/>
      <x:c r="D65" s="26"/>
      <x:c r="E65" s="26"/>
      <x:c r="F65" s="26"/>
    </x:row>
    <x:row r="66" ht="38" hidden="0" customHeight="1">
      <x:c r="A66" s="56" t="s">
        <x:v>120</x:v>
      </x:c>
      <x:c r="B66" s="56" t="s">
        <x:v>203</x:v>
      </x:c>
      <x:c r="C66" s="56" t="s">
        <x:v>204</x:v>
      </x:c>
      <x:c r="D66" s="56" t="s">
        <x:v>127</x:v>
      </x:c>
      <x:c r="E66" s="56" t="inlineStr">
        <x:is>
          <x:t>Work share</x:t>
        </x:is>
      </x:c>
      <x:c r="F66" s="56" t="s">
        <x:v>132</x:v>
      </x:c>
    </x:row>
    <x:row r="67" ht="42" hidden="0" customHeight="1">
      <x:c r="A67" s="66" t="s">
        <x:v>180</x:v>
      </x:c>
      <x:c r="B67" s="69" t="n">
        <x:v>30</x:v>
      </x:c>
      <x:c r="C67" s="69" t="n">
        <x:v>20</x:v>
      </x:c>
      <x:c r="D67" s="70" t="n">
        <x:f aca="0">IF(COUNTIF($B$3:$B$59,A67)&lt;&gt;1,"",INDEX($D$3:$D$59,MATCH(A67,$B$3:$B$59,0)))</x:f>
        <x:v>6</x:v>
      </x:c>
      <x:c r="E67" s="85">
        <x:f>IF(AND(COUNT($B$67:$B$70)=4,MIN($B$67:$B$70)&gt;0),B67/SUM($B$67:$B$70),"")</x:f>
        <x:v>0.25</x:v>
      </x:c>
      <x:c r="F67" s="70">
        <x:f>IF(COUNT(D67:E67)&lt;&gt;2,"",D67*E67)</x:f>
        <x:v>1.5</x:v>
      </x:c>
    </x:row>
    <x:row r="68" ht="42" hidden="0" customHeight="1">
      <x:c r="A68" s="66" t="str">
        <x:v>Mike Tyson push-up</x:v>
      </x:c>
      <x:c r="B68" s="69" t="n">
        <x:v>30</x:v>
      </x:c>
      <x:c r="C68" s="69" t="n">
        <x:v>20</x:v>
      </x:c>
      <x:c r="D68" s="70" t="n">
        <x:f aca="0">IF(COUNTIF($B$3:$B$59,A68)&lt;&gt;1,"",INDEX($D$3:$D$59,MATCH(A68,$B$3:$B$59,0)))</x:f>
        <x:v>4</x:v>
      </x:c>
      <x:c r="E68" s="85">
        <x:f>IF(AND(COUNT($B$67:$B$70)=4,MIN($B$67:$B$70)&gt;0),B68/SUM($B$67:$B$70),"")</x:f>
        <x:v>0.25</x:v>
      </x:c>
      <x:c r="F68" s="70">
        <x:f>IF(COUNT(D68:E68)&lt;&gt;2,"",D68*E68)</x:f>
        <x:v>1</x:v>
      </x:c>
    </x:row>
    <x:row r="69" ht="42" hidden="0" customHeight="1">
      <x:c r="A69" s="66" t="s">
        <x:v>142</x:v>
      </x:c>
      <x:c r="B69" s="69" t="n">
        <x:v>30</x:v>
      </x:c>
      <x:c r="C69" s="69" t="n">
        <x:v>20</x:v>
      </x:c>
      <x:c r="D69" s="70" t="n">
        <x:f aca="0">IF(COUNTIF($B$3:$B$59,A69)&lt;&gt;1,"",INDEX($D$3:$D$59,MATCH(A69,$B$3:$B$59,0)))</x:f>
        <x:v>5</x:v>
      </x:c>
      <x:c r="E69" s="85">
        <x:f>IF(AND(COUNT($B$67:$B$70)=4,MIN($B$67:$B$70)&gt;0),B69/SUM($B$67:$B$70),"")</x:f>
        <x:v>0.25</x:v>
      </x:c>
      <x:c r="F69" s="70">
        <x:f>IF(COUNT(D69:E69)&lt;&gt;2,"",D69*E69)</x:f>
        <x:v>1.25</x:v>
      </x:c>
    </x:row>
    <x:row r="70" ht="42" hidden="0" customHeight="1">
      <x:c r="A70" s="66" t="s">
        <x:v>144</x:v>
      </x:c>
      <x:c r="B70" s="69" t="n">
        <x:v>30</x:v>
      </x:c>
      <x:c r="C70" s="69" t="n">
        <x:v>20</x:v>
      </x:c>
      <x:c r="D70" s="70" t="n">
        <x:f aca="0">IF(COUNTIF($B$3:$B$59,A70)&lt;&gt;1,"",INDEX($D$3:$D$59,MATCH(A70,$B$3:$B$59,0)))</x:f>
        <x:v>5</x:v>
      </x:c>
      <x:c r="E70" s="85">
        <x:f>IF(AND(COUNT($B$67:$B$70)=4,MIN($B$67:$B$70)&gt;0),B70/SUM($B$67:$B$70),"")</x:f>
        <x:v>0.25</x:v>
      </x:c>
      <x:c r="F70" s="70">
        <x:f>IF(COUNT(D70:E70)&lt;&gt;2,"",D70*E70)</x:f>
        <x:v>1.25</x:v>
      </x:c>
    </x:row>
  </x:sheetData>
  <x:mergeCells>
    <x:mergeCell ref="A1:E1"/>
    <x:mergeCell ref="A60:E60"/>
    <x:mergeCell ref="D62:E62"/>
    <x:mergeCell ref="A65:F65"/>
  </x:mergeCells>
  <x:dataValidations count="2">
    <x:dataValidation type="decimal" errorStyle="stop" operator="between" allowBlank="0" showDropDown="0" showInputMessage="0" showErrorMessage="0" sqref="D3:D58">
      <x:formula1>0</x:formula1>
      <x:formula2>10</x:formula2>
    </x:dataValidation>
    <x:dataValidation type="decimal" errorStyle="stop" operator="greaterThanOrEqual" allowBlank="0" showDropDown="0" showInputMessage="0" showErrorMessage="0" sqref="E3:E58">
      <x:formula1>0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695327b9fa04188"/>
  </x:tableParts>
</x:worksheet>
</file>